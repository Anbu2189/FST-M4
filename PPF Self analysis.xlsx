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anbarasan_a_fisglobal_com/Documents/Laptop backup - Anbu old/Personal/Inv/PPF/"/>
    </mc:Choice>
  </mc:AlternateContent>
  <xr:revisionPtr revIDLastSave="41" documentId="13_ncr:1_{261B7006-1E70-4BA7-AF91-C72A7AE41603}" xr6:coauthVersionLast="47" xr6:coauthVersionMax="47" xr10:uidLastSave="{ABED564F-0044-4AD6-B298-90CDCDC651C2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M17" i="2"/>
  <c r="G4" i="2" l="1"/>
  <c r="I4" i="2" s="1"/>
  <c r="G5" i="2" s="1"/>
  <c r="I5" i="2" l="1"/>
  <c r="X5" i="1"/>
  <c r="Y5" i="1" s="1"/>
  <c r="E29" i="1"/>
  <c r="Q5" i="1"/>
  <c r="R5" i="1" s="1"/>
  <c r="E9" i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G26" i="1" s="1"/>
  <c r="K13" i="1"/>
  <c r="L13" i="1" s="1"/>
  <c r="K12" i="1"/>
  <c r="I6" i="2" l="1"/>
  <c r="K14" i="1"/>
  <c r="L14" i="1"/>
  <c r="Q6" i="1"/>
  <c r="R6" i="1"/>
  <c r="X6" i="1"/>
  <c r="Y6" i="1" s="1"/>
  <c r="I7" i="2" l="1"/>
  <c r="X7" i="1"/>
  <c r="Y7" i="1" s="1"/>
  <c r="K15" i="1"/>
  <c r="L15" i="1" s="1"/>
  <c r="Q7" i="1"/>
  <c r="R7" i="1" s="1"/>
  <c r="I8" i="2" l="1"/>
  <c r="Q8" i="1"/>
  <c r="R8" i="1"/>
  <c r="K16" i="1"/>
  <c r="L16" i="1" s="1"/>
  <c r="X8" i="1"/>
  <c r="Y8" i="1" s="1"/>
  <c r="K17" i="1" l="1"/>
  <c r="L17" i="1"/>
  <c r="X9" i="1"/>
  <c r="Y9" i="1"/>
  <c r="Q9" i="1"/>
  <c r="R9" i="1" s="1"/>
  <c r="I10" i="2" l="1"/>
  <c r="G11" i="2" s="1"/>
  <c r="Q10" i="1"/>
  <c r="R10" i="1" s="1"/>
  <c r="X10" i="1"/>
  <c r="Y10" i="1" s="1"/>
  <c r="K18" i="1"/>
  <c r="L18" i="1" s="1"/>
  <c r="I11" i="2" l="1"/>
  <c r="K19" i="1"/>
  <c r="L19" i="1" s="1"/>
  <c r="X11" i="1"/>
  <c r="Y11" i="1" s="1"/>
  <c r="Q11" i="1"/>
  <c r="R11" i="1"/>
  <c r="I12" i="2" l="1"/>
  <c r="G13" i="2" s="1"/>
  <c r="K20" i="1"/>
  <c r="L20" i="1"/>
  <c r="X12" i="1"/>
  <c r="Y12" i="1"/>
  <c r="Q12" i="1"/>
  <c r="R12" i="1" s="1"/>
  <c r="I13" i="2" l="1"/>
  <c r="Q13" i="1"/>
  <c r="R13" i="1"/>
  <c r="K21" i="1"/>
  <c r="L21" i="1" s="1"/>
  <c r="X13" i="1"/>
  <c r="Y13" i="1"/>
  <c r="G14" i="2" l="1"/>
  <c r="H14" i="2"/>
  <c r="I14" i="2"/>
  <c r="K22" i="1"/>
  <c r="L22" i="1" s="1"/>
  <c r="X14" i="1"/>
  <c r="Y14" i="1" s="1"/>
  <c r="Q14" i="1"/>
  <c r="R14" i="1" s="1"/>
  <c r="G15" i="2" l="1"/>
  <c r="I15" i="2" s="1"/>
  <c r="H15" i="2"/>
  <c r="K23" i="1"/>
  <c r="L23" i="1" s="1"/>
  <c r="Q15" i="1"/>
  <c r="R15" i="1" s="1"/>
  <c r="X15" i="1"/>
  <c r="Y15" i="1"/>
  <c r="G16" i="2" l="1"/>
  <c r="I16" i="2" s="1"/>
  <c r="H16" i="2"/>
  <c r="K24" i="1"/>
  <c r="L24" i="1"/>
  <c r="X16" i="1"/>
  <c r="Y16" i="1"/>
  <c r="Q16" i="1"/>
  <c r="R16" i="1" s="1"/>
  <c r="G17" i="2" l="1"/>
  <c r="I17" i="2" s="1"/>
  <c r="H17" i="2"/>
  <c r="K25" i="1"/>
  <c r="L25" i="1" s="1"/>
  <c r="Q17" i="1"/>
  <c r="R17" i="1" s="1"/>
  <c r="X17" i="1"/>
  <c r="Y17" i="1" s="1"/>
  <c r="G18" i="2" l="1"/>
  <c r="I18" i="2" s="1"/>
  <c r="H18" i="2"/>
  <c r="X18" i="1"/>
  <c r="Y18" i="1"/>
  <c r="Q18" i="1"/>
  <c r="R18" i="1" s="1"/>
  <c r="K26" i="1"/>
  <c r="L26" i="1" s="1"/>
  <c r="G19" i="2" l="1"/>
  <c r="I19" i="2" s="1"/>
  <c r="H19" i="2"/>
  <c r="Q19" i="1"/>
  <c r="R19" i="1" s="1"/>
  <c r="X19" i="1"/>
  <c r="Y19" i="1"/>
  <c r="G20" i="2" l="1"/>
  <c r="I20" i="2" s="1"/>
  <c r="H20" i="2"/>
  <c r="S19" i="1"/>
  <c r="Q20" i="1"/>
  <c r="R20" i="1" s="1"/>
  <c r="G21" i="2" l="1"/>
  <c r="I21" i="2" s="1"/>
  <c r="H21" i="2"/>
  <c r="Q21" i="1"/>
  <c r="R21" i="1" s="1"/>
  <c r="G22" i="2" l="1"/>
  <c r="I22" i="2" s="1"/>
  <c r="H22" i="2"/>
  <c r="Q22" i="1"/>
  <c r="R22" i="1"/>
  <c r="G23" i="2" l="1"/>
  <c r="I23" i="2" s="1"/>
  <c r="G24" i="2" s="1"/>
  <c r="H23" i="2"/>
  <c r="Q23" i="1"/>
  <c r="R23" i="1" s="1"/>
  <c r="I24" i="2" l="1"/>
  <c r="G25" i="2" s="1"/>
  <c r="Q24" i="1"/>
  <c r="R24" i="1" s="1"/>
  <c r="I25" i="2" l="1"/>
  <c r="G26" i="2" s="1"/>
  <c r="Q25" i="1"/>
  <c r="R25" i="1" s="1"/>
  <c r="I26" i="2" l="1"/>
  <c r="G27" i="2" s="1"/>
  <c r="Q26" i="1"/>
  <c r="R26" i="1" s="1"/>
  <c r="I27" i="2" l="1"/>
  <c r="G28" i="2" s="1"/>
  <c r="S26" i="1"/>
  <c r="Q27" i="1"/>
  <c r="R27" i="1" s="1"/>
  <c r="I28" i="2" l="1"/>
  <c r="G29" i="2" s="1"/>
  <c r="Q28" i="1"/>
  <c r="R28" i="1" s="1"/>
  <c r="Q29" i="1" s="1"/>
  <c r="R29" i="1" s="1"/>
  <c r="I29" i="2" l="1"/>
  <c r="G30" i="2" s="1"/>
  <c r="I30" i="2" l="1"/>
  <c r="G31" i="2" s="1"/>
  <c r="I31" i="2" l="1"/>
  <c r="G32" i="2" s="1"/>
  <c r="I32" i="2" l="1"/>
  <c r="G33" i="2" s="1"/>
  <c r="I33" i="2" l="1"/>
  <c r="G34" i="2" s="1"/>
  <c r="I34" i="2" l="1"/>
  <c r="G35" i="2" s="1"/>
  <c r="I35" i="2" l="1"/>
  <c r="G36" i="2" s="1"/>
  <c r="I36" i="2" l="1"/>
  <c r="G37" i="2" s="1"/>
  <c r="I37" i="2" l="1"/>
  <c r="G38" i="2" s="1"/>
  <c r="I38" i="2" l="1"/>
  <c r="G39" i="2" l="1"/>
  <c r="I39" i="2" s="1"/>
  <c r="G40" i="2" l="1"/>
  <c r="I40" i="2" s="1"/>
  <c r="G41" i="2" l="1"/>
  <c r="I41" i="2" s="1"/>
  <c r="G42" i="2" l="1"/>
  <c r="I42" i="2" s="1"/>
  <c r="G43" i="2" l="1"/>
  <c r="I43" i="2" s="1"/>
</calcChain>
</file>

<file path=xl/sharedStrings.xml><?xml version="1.0" encoding="utf-8"?>
<sst xmlns="http://schemas.openxmlformats.org/spreadsheetml/2006/main" count="89" uniqueCount="56">
  <si>
    <t>Amount deposited</t>
  </si>
  <si>
    <t>Interest</t>
  </si>
  <si>
    <t>CB</t>
  </si>
  <si>
    <t>SI No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</si>
  <si>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</si>
  <si>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</si>
  <si>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</si>
  <si>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</si>
  <si>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</si>
  <si>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</si>
  <si>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</si>
  <si>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</si>
  <si>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</si>
  <si>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</si>
  <si>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</si>
  <si>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</si>
  <si>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</si>
  <si>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</si>
  <si>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</si>
  <si>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Apr 2014-Mar 2015</t>
  </si>
  <si>
    <t>Apr 2015-Mar 2016</t>
  </si>
  <si>
    <t>Apr 2016-Mar 2017</t>
  </si>
  <si>
    <t>Apr 17-Mar 18</t>
  </si>
  <si>
    <t>Apr 18-Mar 19</t>
  </si>
  <si>
    <t>Apr 19-Mar 20</t>
  </si>
  <si>
    <t>Apr 20-Mar 21</t>
  </si>
  <si>
    <t>Age</t>
  </si>
  <si>
    <t>36-37</t>
  </si>
  <si>
    <t>37-38</t>
  </si>
  <si>
    <t>38-39</t>
  </si>
  <si>
    <t>FY</t>
  </si>
  <si>
    <t>After 25 years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</si>
  <si>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</si>
  <si>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</si>
  <si>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</si>
  <si>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</si>
  <si>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</si>
  <si>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</si>
  <si>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</si>
  <si>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</si>
  <si>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</si>
  <si>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</si>
  <si>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Apr 21-Mar 22</t>
  </si>
  <si>
    <t>Apr 22-Mar 23</t>
  </si>
  <si>
    <t>Apr 23-Mar 24</t>
  </si>
  <si>
    <t>Balance without Interest</t>
  </si>
  <si>
    <t xml:space="preserve">	6,00,094</t>
  </si>
  <si>
    <t>5,04,009</t>
  </si>
  <si>
    <t>4,23,911</t>
  </si>
  <si>
    <t>Apr 24-Mar 25</t>
  </si>
  <si>
    <t>Apr 25-Mar 26</t>
  </si>
  <si>
    <t>49-50</t>
  </si>
  <si>
    <t>50-51</t>
  </si>
  <si>
    <t>51-52</t>
  </si>
  <si>
    <t>52-53</t>
  </si>
  <si>
    <t>53-54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</si>
</sst>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NR]\ #,##0;[Red][$INR]\ 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Y29"/>
  <sheetViews>
    <sheetView topLeftCell="I1" zoomScaleNormal="125" zoomScaleSheetLayoutView="100" workbookViewId="0">
      <selection activeCell="V28" sqref="V28"/>
    </sheetView>
  </sheetViews>
  <sheetFormatPr defaultRowHeight="14.5" x14ac:dyDescent="0.35"/>
  <cols>
    <col min="4" max="4" width="15.36328125" customWidth="1"/>
    <col min="14" max="14" width="18.90625" customWidth="1"/>
    <col min="19" max="19" width="9.26953125" bestFit="1" customWidth="1"/>
  </cols>
  <sheetData>
    <row r="4" spans="3:25" x14ac:dyDescent="0.35">
      <c r="C4" t="s">
        <v>3</v>
      </c>
      <c r="D4" t="s">
        <v>0</v>
      </c>
      <c r="E4" t="s">
        <v>1</v>
      </c>
      <c r="F4" t="s">
        <v>2</v>
      </c>
      <c r="I4" t="s">
        <v>3</v>
      </c>
      <c r="J4" t="s">
        <v>0</v>
      </c>
      <c r="K4" t="s">
        <v>1</v>
      </c>
      <c r="L4" t="s">
        <v>2</v>
      </c>
      <c r="O4" t="s">
        <v>3</v>
      </c>
      <c r="P4" t="s">
        <v>0</v>
      </c>
      <c r="Q4" t="s">
        <v>1</v>
      </c>
      <c r="R4" t="s">
        <v>2</v>
      </c>
      <c r="V4" t="s">
        <v>3</v>
      </c>
      <c r="W4" t="s">
        <v>0</v>
      </c>
      <c r="X4" t="s">
        <v>1</v>
      </c>
      <c r="Y4" t="s">
        <v>2</v>
      </c>
    </row>
    <row r="5" spans="3:25" x14ac:dyDescent="0.35">
      <c r="C5">
        <v>1</v>
      </c>
      <c r="D5">
        <v>50000</v>
      </c>
      <c r="E5">
        <v>3900</v>
      </c>
      <c r="F5">
        <v>53900</v>
      </c>
      <c r="I5">
        <v>1</v>
      </c>
      <c r="J5">
        <v>0</v>
      </c>
      <c r="K5">
        <v>0</v>
      </c>
      <c r="L5">
        <v>0</v>
      </c>
      <c r="N5" t="s">
        <v>19</v>
      </c>
      <c r="O5" s="1">
        <v>1</v>
      </c>
      <c r="P5">
        <v>50000</v>
      </c>
      <c r="Q5">
        <f>(P5*0.078)</f>
        <v>3900</v>
      </c>
      <c r="R5">
        <f>(P5+Q5)</f>
        <v>53900</v>
      </c>
      <c r="V5">
        <v>1</v>
      </c>
      <c r="W5">
        <v>1500000</v>
      </c>
      <c r="X5">
        <f>(W5*0.078)</f>
        <v>117000</v>
      </c>
      <c r="Y5">
        <f>(W5+X5)</f>
        <v>1617000</v>
      </c>
    </row>
    <row r="6" spans="3:25" x14ac:dyDescent="0.35">
      <c r="C6">
        <v>2</v>
      </c>
      <c r="D6">
        <v>50000</v>
      </c>
      <c r="E6">
        <v>8104</v>
      </c>
      <c r="F6">
        <v>112004</v>
      </c>
      <c r="I6">
        <v>2</v>
      </c>
      <c r="J6">
        <v>0</v>
      </c>
      <c r="K6">
        <v>0</v>
      </c>
      <c r="L6">
        <v>0</v>
      </c>
      <c r="N6" t="s">
        <v>20</v>
      </c>
      <c r="O6" s="1">
        <v>2</v>
      </c>
      <c r="P6">
        <v>50000</v>
      </c>
      <c r="Q6">
        <f>((P6+R5)*0.078)</f>
        <v>8104.2</v>
      </c>
      <c r="R6">
        <f>(R5+P6+Q6)</f>
        <v>112004.2</v>
      </c>
      <c r="V6">
        <v>2</v>
      </c>
      <c r="W6">
        <v>0</v>
      </c>
      <c r="X6">
        <f>(Y5*0.078)</f>
        <v>126126</v>
      </c>
      <c r="Y6">
        <f>(Y5+W6+X6)</f>
        <v>1743126</v>
      </c>
    </row>
    <row r="7" spans="3:25" x14ac:dyDescent="0.35">
      <c r="C7">
        <v>3</v>
      </c>
      <c r="D7">
        <v>50000</v>
      </c>
      <c r="E7">
        <v>12636</v>
      </c>
      <c r="F7">
        <v>174640</v>
      </c>
      <c r="I7">
        <v>3</v>
      </c>
      <c r="J7">
        <v>0</v>
      </c>
      <c r="K7">
        <v>0</v>
      </c>
      <c r="L7">
        <v>0</v>
      </c>
      <c r="N7" t="s">
        <v>21</v>
      </c>
      <c r="O7" s="1">
        <v>3</v>
      </c>
      <c r="P7">
        <v>50000</v>
      </c>
      <c r="Q7">
        <f t="shared" ref="Q7:Q29" si="0">((P7+R6)*0.078)</f>
        <v>12636.327600000001</v>
      </c>
      <c r="R7">
        <f t="shared" ref="R7:R29" si="1">(R6+P7+Q7)</f>
        <v>174640.5276</v>
      </c>
      <c r="V7">
        <v>3</v>
      </c>
      <c r="W7">
        <v>0</v>
      </c>
      <c r="X7">
        <f t="shared" ref="X7:X19" si="2">(Y6*0.078)</f>
        <v>135963.82800000001</v>
      </c>
      <c r="Y7">
        <f t="shared" ref="Y7:Y19" si="3">(Y6+W7+X7)</f>
        <v>1879089.828</v>
      </c>
    </row>
    <row r="8" spans="3:25" x14ac:dyDescent="0.35">
      <c r="C8">
        <v>4</v>
      </c>
      <c r="D8">
        <v>50000</v>
      </c>
      <c r="E8">
        <v>17522</v>
      </c>
      <c r="F8">
        <v>242162</v>
      </c>
      <c r="I8">
        <v>4</v>
      </c>
      <c r="J8">
        <v>0</v>
      </c>
      <c r="K8">
        <v>0</v>
      </c>
      <c r="L8">
        <v>0</v>
      </c>
      <c r="N8" t="s">
        <v>22</v>
      </c>
      <c r="O8" s="1">
        <v>4</v>
      </c>
      <c r="P8">
        <v>50000</v>
      </c>
      <c r="Q8">
        <f t="shared" si="0"/>
        <v>17521.961152799999</v>
      </c>
      <c r="R8">
        <f t="shared" si="1"/>
        <v>242162.48875280001</v>
      </c>
      <c r="V8">
        <v>4</v>
      </c>
      <c r="W8">
        <v>0</v>
      </c>
      <c r="X8">
        <f t="shared" si="2"/>
        <v>146569.00658399999</v>
      </c>
      <c r="Y8">
        <f t="shared" si="3"/>
        <v>2025658.8345840001</v>
      </c>
    </row>
    <row r="9" spans="3:25" x14ac:dyDescent="0.35">
      <c r="C9">
        <v>5</v>
      </c>
      <c r="D9">
        <v>50000</v>
      </c>
      <c r="E9">
        <f>(F8+D9)*0.078</f>
        <v>22788.635999999999</v>
      </c>
      <c r="F9">
        <f>(D9+E9+F8)</f>
        <v>314950.636</v>
      </c>
      <c r="I9">
        <v>5</v>
      </c>
      <c r="J9">
        <v>0</v>
      </c>
      <c r="K9">
        <v>0</v>
      </c>
      <c r="L9">
        <v>0</v>
      </c>
      <c r="N9" t="s">
        <v>23</v>
      </c>
      <c r="O9">
        <v>5</v>
      </c>
      <c r="P9">
        <v>50000</v>
      </c>
      <c r="Q9">
        <f t="shared" si="0"/>
        <v>22788.674122718403</v>
      </c>
      <c r="R9">
        <f t="shared" si="1"/>
        <v>314951.16287551844</v>
      </c>
      <c r="V9">
        <v>5</v>
      </c>
      <c r="W9">
        <v>0</v>
      </c>
      <c r="X9">
        <f t="shared" si="2"/>
        <v>158001.38909755199</v>
      </c>
      <c r="Y9">
        <f t="shared" si="3"/>
        <v>2183660.2236815519</v>
      </c>
    </row>
    <row r="10" spans="3:25" x14ac:dyDescent="0.35">
      <c r="C10">
        <v>6</v>
      </c>
      <c r="D10">
        <v>0</v>
      </c>
      <c r="E10">
        <f t="shared" ref="E10:E26" si="4">(F9+D10)*0.078</f>
        <v>24566.149608</v>
      </c>
      <c r="F10">
        <f t="shared" ref="F10:F26" si="5">(D10+E10+F9)</f>
        <v>339516.78560800001</v>
      </c>
      <c r="I10">
        <v>6</v>
      </c>
      <c r="J10">
        <v>0</v>
      </c>
      <c r="K10">
        <v>0</v>
      </c>
      <c r="L10">
        <v>0</v>
      </c>
      <c r="N10" t="s">
        <v>24</v>
      </c>
      <c r="O10">
        <v>6</v>
      </c>
      <c r="P10">
        <v>50000</v>
      </c>
      <c r="Q10">
        <f t="shared" si="0"/>
        <v>28466.190704290439</v>
      </c>
      <c r="R10">
        <f t="shared" si="1"/>
        <v>393417.3535798089</v>
      </c>
      <c r="V10">
        <v>6</v>
      </c>
      <c r="W10">
        <v>0</v>
      </c>
      <c r="X10">
        <f t="shared" si="2"/>
        <v>170325.49744716103</v>
      </c>
      <c r="Y10">
        <f t="shared" si="3"/>
        <v>2353985.7211287129</v>
      </c>
    </row>
    <row r="11" spans="3:25" x14ac:dyDescent="0.35">
      <c r="C11">
        <v>7</v>
      </c>
      <c r="D11">
        <v>0</v>
      </c>
      <c r="E11">
        <f t="shared" si="4"/>
        <v>26482.309277423999</v>
      </c>
      <c r="F11">
        <f t="shared" si="5"/>
        <v>365999.09488542401</v>
      </c>
      <c r="I11">
        <v>7</v>
      </c>
      <c r="J11">
        <v>0</v>
      </c>
      <c r="K11">
        <v>0</v>
      </c>
      <c r="L11">
        <v>0</v>
      </c>
      <c r="N11" t="s">
        <v>25</v>
      </c>
      <c r="O11">
        <v>7</v>
      </c>
      <c r="P11">
        <v>50000</v>
      </c>
      <c r="Q11">
        <f t="shared" si="0"/>
        <v>34586.553579225096</v>
      </c>
      <c r="R11">
        <f t="shared" si="1"/>
        <v>478003.90715903399</v>
      </c>
      <c r="V11">
        <v>7</v>
      </c>
      <c r="W11">
        <v>0</v>
      </c>
      <c r="X11">
        <f t="shared" si="2"/>
        <v>183610.88624803961</v>
      </c>
      <c r="Y11">
        <f t="shared" si="3"/>
        <v>2537596.6073767524</v>
      </c>
    </row>
    <row r="12" spans="3:25" x14ac:dyDescent="0.35">
      <c r="C12">
        <v>8</v>
      </c>
      <c r="D12">
        <v>0</v>
      </c>
      <c r="E12">
        <f t="shared" si="4"/>
        <v>28547.929401063073</v>
      </c>
      <c r="F12">
        <f t="shared" si="5"/>
        <v>394547.02428648708</v>
      </c>
      <c r="I12">
        <v>8</v>
      </c>
      <c r="J12">
        <v>50000</v>
      </c>
      <c r="K12">
        <f>(J12*0.078)</f>
        <v>3900</v>
      </c>
      <c r="L12">
        <v>53900</v>
      </c>
      <c r="N12" t="s">
        <v>4</v>
      </c>
      <c r="O12">
        <v>8</v>
      </c>
      <c r="P12">
        <v>50000</v>
      </c>
      <c r="Q12">
        <f t="shared" si="0"/>
        <v>41184.304758404644</v>
      </c>
      <c r="R12">
        <f t="shared" si="1"/>
        <v>569188.21191743854</v>
      </c>
      <c r="V12">
        <v>8</v>
      </c>
      <c r="W12">
        <v>0</v>
      </c>
      <c r="X12">
        <f t="shared" si="2"/>
        <v>197932.53537538668</v>
      </c>
      <c r="Y12">
        <f t="shared" si="3"/>
        <v>2735529.1427521389</v>
      </c>
    </row>
    <row r="13" spans="3:25" x14ac:dyDescent="0.35">
      <c r="C13">
        <v>9</v>
      </c>
      <c r="D13">
        <v>0</v>
      </c>
      <c r="E13">
        <f t="shared" si="4"/>
        <v>30774.667894345992</v>
      </c>
      <c r="F13">
        <f t="shared" si="5"/>
        <v>425321.69218083308</v>
      </c>
      <c r="I13">
        <v>9</v>
      </c>
      <c r="J13">
        <v>50000</v>
      </c>
      <c r="K13">
        <f>((L12+J13)*0.078)</f>
        <v>8104.2</v>
      </c>
      <c r="L13">
        <f>(L12+J13+K13)</f>
        <v>112004.2</v>
      </c>
      <c r="N13" t="s">
        <v>5</v>
      </c>
      <c r="O13">
        <v>9</v>
      </c>
      <c r="P13">
        <v>50000</v>
      </c>
      <c r="Q13">
        <f t="shared" si="0"/>
        <v>48296.68052956021</v>
      </c>
      <c r="R13">
        <f t="shared" si="1"/>
        <v>667484.89244699874</v>
      </c>
      <c r="V13">
        <v>9</v>
      </c>
      <c r="W13">
        <v>0</v>
      </c>
      <c r="X13">
        <f t="shared" si="2"/>
        <v>213371.27313466684</v>
      </c>
      <c r="Y13">
        <f t="shared" si="3"/>
        <v>2948900.4158868059</v>
      </c>
    </row>
    <row r="14" spans="3:25" x14ac:dyDescent="0.35">
      <c r="C14">
        <v>10</v>
      </c>
      <c r="D14">
        <v>0</v>
      </c>
      <c r="E14">
        <f t="shared" si="4"/>
        <v>33175.091990104978</v>
      </c>
      <c r="F14">
        <f t="shared" si="5"/>
        <v>458496.78417093807</v>
      </c>
      <c r="I14">
        <v>10</v>
      </c>
      <c r="J14">
        <v>50000</v>
      </c>
      <c r="K14">
        <f t="shared" ref="K14:K26" si="6">((L13+J14)*0.078)</f>
        <v>12636.327600000001</v>
      </c>
      <c r="L14">
        <f t="shared" ref="L14:L26" si="7">(L13+J14+K14)</f>
        <v>174640.5276</v>
      </c>
      <c r="N14" t="s">
        <v>6</v>
      </c>
      <c r="O14">
        <v>10</v>
      </c>
      <c r="P14">
        <v>50000</v>
      </c>
      <c r="Q14">
        <f t="shared" si="0"/>
        <v>55963.821610865903</v>
      </c>
      <c r="R14">
        <f t="shared" si="1"/>
        <v>773448.71405786462</v>
      </c>
      <c r="V14">
        <v>10</v>
      </c>
      <c r="W14">
        <v>0</v>
      </c>
      <c r="X14">
        <f t="shared" si="2"/>
        <v>230014.23243917085</v>
      </c>
      <c r="Y14">
        <f t="shared" si="3"/>
        <v>3178914.6483259769</v>
      </c>
    </row>
    <row r="15" spans="3:25" x14ac:dyDescent="0.35">
      <c r="C15">
        <v>11</v>
      </c>
      <c r="D15">
        <v>0</v>
      </c>
      <c r="E15">
        <f t="shared" si="4"/>
        <v>35762.749165333167</v>
      </c>
      <c r="F15">
        <f t="shared" si="5"/>
        <v>494259.53333627124</v>
      </c>
      <c r="I15">
        <v>11</v>
      </c>
      <c r="J15">
        <v>50000</v>
      </c>
      <c r="K15">
        <f t="shared" si="6"/>
        <v>17521.961152799999</v>
      </c>
      <c r="L15">
        <f t="shared" si="7"/>
        <v>242162.48875280001</v>
      </c>
      <c r="N15" t="s">
        <v>7</v>
      </c>
      <c r="O15">
        <v>11</v>
      </c>
      <c r="P15">
        <v>50000</v>
      </c>
      <c r="Q15">
        <f t="shared" si="0"/>
        <v>64228.999696513441</v>
      </c>
      <c r="R15">
        <f t="shared" si="1"/>
        <v>887677.71375437803</v>
      </c>
      <c r="V15">
        <v>11</v>
      </c>
      <c r="W15">
        <v>0</v>
      </c>
      <c r="X15">
        <f t="shared" si="2"/>
        <v>247955.3425694262</v>
      </c>
      <c r="Y15">
        <f t="shared" si="3"/>
        <v>3426869.9908954031</v>
      </c>
    </row>
    <row r="16" spans="3:25" x14ac:dyDescent="0.35">
      <c r="C16">
        <v>12</v>
      </c>
      <c r="D16">
        <v>0</v>
      </c>
      <c r="E16">
        <f t="shared" si="4"/>
        <v>38552.243600229158</v>
      </c>
      <c r="F16">
        <f t="shared" si="5"/>
        <v>532811.77693650045</v>
      </c>
      <c r="I16">
        <v>12</v>
      </c>
      <c r="J16">
        <v>50000</v>
      </c>
      <c r="K16">
        <f t="shared" si="6"/>
        <v>22788.674122718403</v>
      </c>
      <c r="L16">
        <f t="shared" si="7"/>
        <v>314951.16287551844</v>
      </c>
      <c r="N16" t="s">
        <v>8</v>
      </c>
      <c r="O16">
        <v>12</v>
      </c>
      <c r="P16">
        <v>50000</v>
      </c>
      <c r="Q16">
        <f t="shared" si="0"/>
        <v>73138.861672841493</v>
      </c>
      <c r="R16">
        <f t="shared" si="1"/>
        <v>1010816.5754272195</v>
      </c>
      <c r="V16">
        <v>12</v>
      </c>
      <c r="W16">
        <v>0</v>
      </c>
      <c r="X16">
        <f t="shared" si="2"/>
        <v>267295.85928984144</v>
      </c>
      <c r="Y16">
        <f t="shared" si="3"/>
        <v>3694165.8501852443</v>
      </c>
    </row>
    <row r="17" spans="3:25" x14ac:dyDescent="0.35">
      <c r="C17">
        <v>13</v>
      </c>
      <c r="D17">
        <v>0</v>
      </c>
      <c r="E17">
        <f t="shared" si="4"/>
        <v>41559.318601047038</v>
      </c>
      <c r="F17">
        <f t="shared" si="5"/>
        <v>574371.09553754749</v>
      </c>
      <c r="I17">
        <v>13</v>
      </c>
      <c r="J17">
        <v>50000</v>
      </c>
      <c r="K17">
        <f t="shared" si="6"/>
        <v>28466.190704290439</v>
      </c>
      <c r="L17">
        <f t="shared" si="7"/>
        <v>393417.3535798089</v>
      </c>
      <c r="N17" t="s">
        <v>9</v>
      </c>
      <c r="O17">
        <v>13</v>
      </c>
      <c r="P17">
        <v>50000</v>
      </c>
      <c r="Q17">
        <f t="shared" si="0"/>
        <v>82743.692883323121</v>
      </c>
      <c r="R17">
        <f t="shared" si="1"/>
        <v>1143560.2683105427</v>
      </c>
      <c r="V17">
        <v>13</v>
      </c>
      <c r="W17">
        <v>0</v>
      </c>
      <c r="X17">
        <f t="shared" si="2"/>
        <v>288144.93631444906</v>
      </c>
      <c r="Y17">
        <f t="shared" si="3"/>
        <v>3982310.7864996935</v>
      </c>
    </row>
    <row r="18" spans="3:25" x14ac:dyDescent="0.35">
      <c r="C18">
        <v>14</v>
      </c>
      <c r="D18">
        <v>0</v>
      </c>
      <c r="E18">
        <f t="shared" si="4"/>
        <v>44800.945451928703</v>
      </c>
      <c r="F18">
        <f t="shared" si="5"/>
        <v>619172.04098947614</v>
      </c>
      <c r="I18">
        <v>14</v>
      </c>
      <c r="J18">
        <v>50000</v>
      </c>
      <c r="K18">
        <f t="shared" si="6"/>
        <v>34586.553579225096</v>
      </c>
      <c r="L18">
        <f t="shared" si="7"/>
        <v>478003.90715903399</v>
      </c>
      <c r="N18" t="s">
        <v>10</v>
      </c>
      <c r="O18">
        <v>14</v>
      </c>
      <c r="P18">
        <v>50000</v>
      </c>
      <c r="Q18">
        <f t="shared" si="0"/>
        <v>93097.70092822233</v>
      </c>
      <c r="R18">
        <f t="shared" si="1"/>
        <v>1286657.9692387651</v>
      </c>
      <c r="V18">
        <v>14</v>
      </c>
      <c r="W18">
        <v>0</v>
      </c>
      <c r="X18">
        <f t="shared" si="2"/>
        <v>310620.24134697608</v>
      </c>
      <c r="Y18">
        <f t="shared" si="3"/>
        <v>4292931.0278466698</v>
      </c>
    </row>
    <row r="19" spans="3:25" x14ac:dyDescent="0.35">
      <c r="C19">
        <v>15</v>
      </c>
      <c r="D19">
        <v>0</v>
      </c>
      <c r="E19">
        <f t="shared" si="4"/>
        <v>48295.419197179137</v>
      </c>
      <c r="F19">
        <f t="shared" si="5"/>
        <v>667467.46018665528</v>
      </c>
      <c r="I19">
        <v>15</v>
      </c>
      <c r="J19">
        <v>50000</v>
      </c>
      <c r="K19">
        <f t="shared" si="6"/>
        <v>41184.304758404644</v>
      </c>
      <c r="L19">
        <f t="shared" si="7"/>
        <v>569188.21191743854</v>
      </c>
      <c r="N19" t="s">
        <v>11</v>
      </c>
      <c r="O19">
        <v>15</v>
      </c>
      <c r="P19">
        <v>50000</v>
      </c>
      <c r="Q19">
        <f t="shared" si="0"/>
        <v>104259.32160062368</v>
      </c>
      <c r="R19">
        <f t="shared" si="1"/>
        <v>1440917.2908393887</v>
      </c>
      <c r="S19">
        <f>R19-750000</f>
        <v>690917.29083938873</v>
      </c>
      <c r="V19">
        <v>15</v>
      </c>
      <c r="W19">
        <v>0</v>
      </c>
      <c r="X19">
        <f t="shared" si="2"/>
        <v>334848.62017204025</v>
      </c>
      <c r="Y19">
        <f t="shared" si="3"/>
        <v>4627779.6480187103</v>
      </c>
    </row>
    <row r="20" spans="3:25" x14ac:dyDescent="0.35">
      <c r="C20">
        <v>16</v>
      </c>
      <c r="D20">
        <v>0</v>
      </c>
      <c r="E20">
        <f t="shared" si="4"/>
        <v>52062.461894559114</v>
      </c>
      <c r="F20">
        <f t="shared" si="5"/>
        <v>719529.92208121438</v>
      </c>
      <c r="I20">
        <v>16</v>
      </c>
      <c r="J20">
        <v>50000</v>
      </c>
      <c r="K20">
        <f t="shared" si="6"/>
        <v>48296.68052956021</v>
      </c>
      <c r="L20">
        <f t="shared" si="7"/>
        <v>667484.89244699874</v>
      </c>
      <c r="N20" t="s">
        <v>12</v>
      </c>
      <c r="O20">
        <v>16</v>
      </c>
      <c r="P20">
        <v>50000</v>
      </c>
      <c r="Q20">
        <f t="shared" si="0"/>
        <v>116291.54868547233</v>
      </c>
      <c r="R20">
        <f t="shared" si="1"/>
        <v>1607208.839524861</v>
      </c>
    </row>
    <row r="21" spans="3:25" x14ac:dyDescent="0.35">
      <c r="C21">
        <v>17</v>
      </c>
      <c r="D21">
        <v>0</v>
      </c>
      <c r="E21">
        <f t="shared" si="4"/>
        <v>56123.333922334721</v>
      </c>
      <c r="F21">
        <f t="shared" si="5"/>
        <v>775653.25600354909</v>
      </c>
      <c r="I21">
        <v>17</v>
      </c>
      <c r="J21">
        <v>50000</v>
      </c>
      <c r="K21">
        <f t="shared" si="6"/>
        <v>55963.821610865903</v>
      </c>
      <c r="L21">
        <f t="shared" si="7"/>
        <v>773448.71405786462</v>
      </c>
      <c r="N21" t="s">
        <v>13</v>
      </c>
      <c r="O21">
        <v>17</v>
      </c>
      <c r="P21">
        <v>50000</v>
      </c>
      <c r="Q21">
        <f t="shared" si="0"/>
        <v>129262.28948293916</v>
      </c>
      <c r="R21">
        <f t="shared" si="1"/>
        <v>1786471.1290078</v>
      </c>
    </row>
    <row r="22" spans="3:25" x14ac:dyDescent="0.35">
      <c r="C22">
        <v>18</v>
      </c>
      <c r="D22">
        <v>0</v>
      </c>
      <c r="E22">
        <f t="shared" si="4"/>
        <v>60500.95396827683</v>
      </c>
      <c r="F22">
        <f t="shared" si="5"/>
        <v>836154.20997182594</v>
      </c>
      <c r="I22">
        <v>18</v>
      </c>
      <c r="J22">
        <v>50000</v>
      </c>
      <c r="K22">
        <f t="shared" si="6"/>
        <v>64228.999696513441</v>
      </c>
      <c r="L22">
        <f t="shared" si="7"/>
        <v>887677.71375437803</v>
      </c>
      <c r="N22" t="s">
        <v>14</v>
      </c>
      <c r="O22">
        <v>18</v>
      </c>
      <c r="P22">
        <v>50000</v>
      </c>
      <c r="Q22">
        <f t="shared" si="0"/>
        <v>143244.74806260841</v>
      </c>
      <c r="R22">
        <f t="shared" si="1"/>
        <v>1979715.8770704083</v>
      </c>
    </row>
    <row r="23" spans="3:25" x14ac:dyDescent="0.35">
      <c r="C23">
        <v>19</v>
      </c>
      <c r="D23">
        <v>0</v>
      </c>
      <c r="E23">
        <f t="shared" si="4"/>
        <v>65220.028377802424</v>
      </c>
      <c r="F23">
        <f t="shared" si="5"/>
        <v>901374.2383496284</v>
      </c>
      <c r="I23">
        <v>19</v>
      </c>
      <c r="J23">
        <v>50000</v>
      </c>
      <c r="K23">
        <f t="shared" si="6"/>
        <v>73138.861672841493</v>
      </c>
      <c r="L23">
        <f t="shared" si="7"/>
        <v>1010816.5754272195</v>
      </c>
      <c r="N23" t="s">
        <v>15</v>
      </c>
      <c r="O23">
        <v>19</v>
      </c>
      <c r="P23">
        <v>50000</v>
      </c>
      <c r="Q23">
        <f t="shared" si="0"/>
        <v>158317.83841149186</v>
      </c>
      <c r="R23">
        <f t="shared" si="1"/>
        <v>2188033.7154819001</v>
      </c>
    </row>
    <row r="24" spans="3:25" x14ac:dyDescent="0.35">
      <c r="C24">
        <v>20</v>
      </c>
      <c r="D24">
        <v>0</v>
      </c>
      <c r="E24">
        <f t="shared" si="4"/>
        <v>70307.190591271021</v>
      </c>
      <c r="F24">
        <f t="shared" si="5"/>
        <v>971681.42894089944</v>
      </c>
      <c r="I24">
        <v>20</v>
      </c>
      <c r="J24">
        <v>50000</v>
      </c>
      <c r="K24">
        <f t="shared" si="6"/>
        <v>82743.692883323121</v>
      </c>
      <c r="L24">
        <f t="shared" si="7"/>
        <v>1143560.2683105427</v>
      </c>
      <c r="N24" t="s">
        <v>16</v>
      </c>
      <c r="O24">
        <v>20</v>
      </c>
      <c r="P24">
        <v>50000</v>
      </c>
      <c r="Q24">
        <f t="shared" si="0"/>
        <v>174566.62980758821</v>
      </c>
      <c r="R24">
        <f t="shared" si="1"/>
        <v>2412600.3452894883</v>
      </c>
    </row>
    <row r="25" spans="3:25" x14ac:dyDescent="0.35">
      <c r="C25">
        <v>21</v>
      </c>
      <c r="D25">
        <v>0</v>
      </c>
      <c r="E25">
        <f t="shared" si="4"/>
        <v>75791.151457390151</v>
      </c>
      <c r="F25">
        <f t="shared" si="5"/>
        <v>1047472.5803982896</v>
      </c>
      <c r="I25">
        <v>21</v>
      </c>
      <c r="J25">
        <v>50000</v>
      </c>
      <c r="K25">
        <f t="shared" si="6"/>
        <v>93097.70092822233</v>
      </c>
      <c r="L25">
        <f t="shared" si="7"/>
        <v>1286657.9692387651</v>
      </c>
      <c r="N25" t="s">
        <v>17</v>
      </c>
      <c r="O25">
        <v>21</v>
      </c>
      <c r="P25">
        <v>50000</v>
      </c>
      <c r="Q25">
        <f t="shared" si="0"/>
        <v>192082.82693258009</v>
      </c>
      <c r="R25">
        <f t="shared" si="1"/>
        <v>2654683.1722220685</v>
      </c>
    </row>
    <row r="26" spans="3:25" x14ac:dyDescent="0.35">
      <c r="C26">
        <v>22</v>
      </c>
      <c r="D26">
        <v>0</v>
      </c>
      <c r="E26">
        <f t="shared" si="4"/>
        <v>81702.861271066591</v>
      </c>
      <c r="F26">
        <f t="shared" si="5"/>
        <v>1129175.4416693561</v>
      </c>
      <c r="G26">
        <f>F26-250000</f>
        <v>879175.44166935608</v>
      </c>
      <c r="I26">
        <v>22</v>
      </c>
      <c r="J26">
        <v>50000</v>
      </c>
      <c r="K26">
        <f t="shared" si="6"/>
        <v>104259.32160062368</v>
      </c>
      <c r="L26">
        <f t="shared" si="7"/>
        <v>1440917.2908393887</v>
      </c>
      <c r="N26" t="s">
        <v>18</v>
      </c>
      <c r="O26">
        <v>22</v>
      </c>
      <c r="P26">
        <v>50000</v>
      </c>
      <c r="Q26">
        <f t="shared" si="0"/>
        <v>210965.28743332135</v>
      </c>
      <c r="R26">
        <f t="shared" si="1"/>
        <v>2915648.4596553901</v>
      </c>
      <c r="S26">
        <f>R26-1100000</f>
        <v>1815648.4596553901</v>
      </c>
    </row>
    <row r="27" spans="3:25" x14ac:dyDescent="0.35">
      <c r="O27">
        <v>23</v>
      </c>
      <c r="P27">
        <v>50000</v>
      </c>
      <c r="Q27">
        <f t="shared" si="0"/>
        <v>231320.57985312043</v>
      </c>
      <c r="R27">
        <f t="shared" si="1"/>
        <v>3196969.0395085104</v>
      </c>
    </row>
    <row r="28" spans="3:25" x14ac:dyDescent="0.35">
      <c r="O28">
        <v>24</v>
      </c>
      <c r="P28">
        <v>50000</v>
      </c>
      <c r="Q28">
        <f t="shared" si="0"/>
        <v>253263.5850816638</v>
      </c>
      <c r="R28">
        <f t="shared" si="1"/>
        <v>3500232.6245901743</v>
      </c>
    </row>
    <row r="29" spans="3:25" x14ac:dyDescent="0.35">
      <c r="E29">
        <f>2036-1989</f>
        <v>47</v>
      </c>
      <c r="O29">
        <v>25</v>
      </c>
      <c r="P29">
        <v>50000</v>
      </c>
      <c r="Q29">
        <f t="shared" si="0"/>
        <v>276918.14471803361</v>
      </c>
      <c r="R29">
        <f t="shared" si="1"/>
        <v>3827150.769308208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O43"/>
  <sheetViews>
    <sheetView tabSelected="1" zoomScale="90" zoomScaleNormal="90" workbookViewId="0">
      <selection activeCell="J11" sqref="J11"/>
    </sheetView>
  </sheetViews>
  <sheetFormatPr defaultRowHeight="14.5" x14ac:dyDescent="0.35"/>
  <cols>
    <col min="4" max="4" width="17.90625" customWidth="1"/>
    <col min="6" max="6" width="21" customWidth="1"/>
    <col min="8" max="8" width="28.08984375" customWidth="1"/>
    <col min="9" max="9" width="13.54296875" bestFit="1" customWidth="1"/>
    <col min="10" max="10" width="25.08984375" customWidth="1"/>
    <col min="13" max="13" width="16.81640625" customWidth="1"/>
  </cols>
  <sheetData>
    <row r="3" spans="3:13" x14ac:dyDescent="0.35">
      <c r="C3" s="3" t="s">
        <v>26</v>
      </c>
      <c r="D3" s="3" t="s">
        <v>30</v>
      </c>
      <c r="E3" s="3" t="s">
        <v>3</v>
      </c>
      <c r="F3" s="3" t="s">
        <v>0</v>
      </c>
      <c r="G3" s="3" t="s">
        <v>1</v>
      </c>
      <c r="H3" s="3" t="s">
        <v>45</v>
      </c>
      <c r="I3" s="3" t="s">
        <v>2</v>
      </c>
    </row>
    <row r="4" spans="3:13" x14ac:dyDescent="0.35">
      <c r="C4" s="5">
        <v>25</v>
      </c>
      <c r="D4" s="4" t="s">
        <v>19</v>
      </c>
      <c r="E4" s="6">
        <v>1</v>
      </c>
      <c r="F4" s="5"/>
      <c r="G4" s="5">
        <f>(F4*0.078)</f>
        <v>0</v>
      </c>
      <c r="H4" s="5"/>
      <c r="I4" s="5">
        <f>(F4+G4)</f>
        <v>0</v>
      </c>
    </row>
    <row r="5" spans="3:13" x14ac:dyDescent="0.35">
      <c r="C5" s="5">
        <v>26</v>
      </c>
      <c r="D5" s="4" t="s">
        <v>20</v>
      </c>
      <c r="E5" s="6">
        <v>2</v>
      </c>
      <c r="F5" s="5">
        <v>40010</v>
      </c>
      <c r="G5" s="5">
        <f>((F5+I4)*0.078)</f>
        <v>3120.78</v>
      </c>
      <c r="H5" s="5"/>
      <c r="I5" s="5">
        <f>(I4+F5+G5)</f>
        <v>43130.78</v>
      </c>
    </row>
    <row r="6" spans="3:13" x14ac:dyDescent="0.35">
      <c r="C6" s="5">
        <v>27</v>
      </c>
      <c r="D6" s="4" t="s">
        <v>21</v>
      </c>
      <c r="E6" s="6">
        <v>3</v>
      </c>
      <c r="F6" s="5">
        <v>25000</v>
      </c>
      <c r="G6" s="5">
        <v>8307</v>
      </c>
      <c r="H6" s="5"/>
      <c r="I6" s="5">
        <f>(I5+F6+G6)</f>
        <v>76437.78</v>
      </c>
    </row>
    <row r="7" spans="3:13" x14ac:dyDescent="0.35">
      <c r="C7" s="5">
        <v>28</v>
      </c>
      <c r="D7" s="4" t="s">
        <v>22</v>
      </c>
      <c r="E7" s="6">
        <v>4</v>
      </c>
      <c r="F7" s="5">
        <v>30000</v>
      </c>
      <c r="G7" s="5">
        <v>11001</v>
      </c>
      <c r="H7" s="5"/>
      <c r="I7" s="5">
        <f>(I6+F7+G7)</f>
        <v>117438.78</v>
      </c>
    </row>
    <row r="8" spans="3:13" x14ac:dyDescent="0.35">
      <c r="C8" s="5">
        <v>29</v>
      </c>
      <c r="D8" s="4" t="s">
        <v>23</v>
      </c>
      <c r="E8" s="6">
        <v>5</v>
      </c>
      <c r="F8" s="5">
        <v>40000</v>
      </c>
      <c r="G8" s="5">
        <v>15015</v>
      </c>
      <c r="H8" s="5"/>
      <c r="I8" s="5">
        <f>(I7+F8+G8)</f>
        <v>172453.78</v>
      </c>
    </row>
    <row r="9" spans="3:13" x14ac:dyDescent="0.35">
      <c r="C9" s="5">
        <v>30</v>
      </c>
      <c r="D9" s="4" t="s">
        <v>24</v>
      </c>
      <c r="E9" s="6">
        <v>6</v>
      </c>
      <c r="F9" s="5">
        <v>50000</v>
      </c>
      <c r="G9" s="5">
        <v>20408</v>
      </c>
      <c r="H9" s="5"/>
      <c r="I9" s="5">
        <v>277919</v>
      </c>
    </row>
    <row r="10" spans="3:13" x14ac:dyDescent="0.35">
      <c r="C10" s="5">
        <v>31</v>
      </c>
      <c r="D10" s="4" t="s">
        <v>25</v>
      </c>
      <c r="E10" s="6">
        <v>7</v>
      </c>
      <c r="F10" s="5">
        <v>60000</v>
      </c>
      <c r="G10" s="5">
        <f>((F10+I9)*0.071)</f>
        <v>23992.248999999996</v>
      </c>
      <c r="H10" s="5"/>
      <c r="I10" s="5">
        <f t="shared" ref="I10:I43" si="0">(I9+F10+G10)</f>
        <v>361911.24900000001</v>
      </c>
    </row>
    <row r="11" spans="3:13" x14ac:dyDescent="0.35">
      <c r="C11" s="5">
        <v>32</v>
      </c>
      <c r="D11" s="4" t="s">
        <v>42</v>
      </c>
      <c r="E11" s="6">
        <v>8</v>
      </c>
      <c r="F11" s="5">
        <v>62000</v>
      </c>
      <c r="G11" s="5">
        <f>((F11+I10)*0.071)</f>
        <v>30097.698678999997</v>
      </c>
      <c r="H11" s="5" t="s">
        <v>48</v>
      </c>
      <c r="I11" s="5">
        <f t="shared" si="0"/>
        <v>454008.94767900003</v>
      </c>
    </row>
    <row r="12" spans="3:13" x14ac:dyDescent="0.35">
      <c r="C12" s="5">
        <v>33</v>
      </c>
      <c r="D12" s="4" t="s">
        <v>43</v>
      </c>
      <c r="E12" s="6">
        <v>9</v>
      </c>
      <c r="F12" s="5">
        <v>50000</v>
      </c>
      <c r="G12" s="5">
        <v>35785</v>
      </c>
      <c r="H12" s="5" t="s">
        <v>47</v>
      </c>
      <c r="I12" s="5">
        <f t="shared" si="0"/>
        <v>539793.94767899998</v>
      </c>
    </row>
    <row r="13" spans="3:13" x14ac:dyDescent="0.35">
      <c r="C13" s="5">
        <v>34</v>
      </c>
      <c r="D13" s="4" t="s">
        <v>44</v>
      </c>
      <c r="E13" s="6">
        <v>10</v>
      </c>
      <c r="F13" s="5">
        <v>60300</v>
      </c>
      <c r="G13" s="5">
        <f>((F13+I12)*0.071)</f>
        <v>42606.670285208995</v>
      </c>
      <c r="H13" s="5" t="s">
        <v>46</v>
      </c>
      <c r="I13" s="5">
        <f t="shared" si="0"/>
        <v>642700.61796420894</v>
      </c>
    </row>
    <row r="14" spans="3:13" x14ac:dyDescent="0.35">
      <c r="C14" s="5">
        <v>35</v>
      </c>
      <c r="D14" s="4" t="s">
        <v>49</v>
      </c>
      <c r="E14" s="6">
        <v>11</v>
      </c>
      <c r="F14" s="5">
        <v>20000</v>
      </c>
      <c r="G14" s="5">
        <f t="shared" ref="G14:G43" si="1">((F14+I13)*0.071)</f>
        <v>47051.743875458829</v>
      </c>
      <c r="H14" s="8">
        <f>(I13+F14)</f>
        <v>662700.61796420894</v>
      </c>
      <c r="I14" s="5">
        <f t="shared" si="0"/>
        <v>709752.36183966778</v>
      </c>
    </row>
    <row r="15" spans="3:13" x14ac:dyDescent="0.35">
      <c r="C15" s="5">
        <v>36</v>
      </c>
      <c r="D15" s="4" t="s">
        <v>50</v>
      </c>
      <c r="E15" s="6">
        <v>12</v>
      </c>
      <c r="F15" s="5">
        <v>60000</v>
      </c>
      <c r="G15" s="5">
        <f t="shared" si="1"/>
        <v>54652.417690616407</v>
      </c>
      <c r="H15" s="8">
        <f>(I14+F15)</f>
        <v>769752.36183966778</v>
      </c>
      <c r="I15" s="5">
        <f t="shared" si="0"/>
        <v>824404.77953028423</v>
      </c>
    </row>
    <row r="16" spans="3:13" x14ac:dyDescent="0.35">
      <c r="C16" s="5">
        <v>37</v>
      </c>
      <c r="D16" s="4" t="s">
        <v>9</v>
      </c>
      <c r="E16" s="5">
        <v>13</v>
      </c>
      <c r="F16" s="5">
        <v>80000</v>
      </c>
      <c r="G16" s="5">
        <f t="shared" si="1"/>
        <v>64212.739346650174</v>
      </c>
      <c r="H16" s="8">
        <f t="shared" ref="H16:H23" si="2">(I15+F16)</f>
        <v>904404.77953028423</v>
      </c>
      <c r="I16" s="5">
        <f t="shared" si="0"/>
        <v>968617.51887693442</v>
      </c>
      <c r="M16" t="s">
        <v>31</v>
      </c>
    </row>
    <row r="17" spans="3:15" x14ac:dyDescent="0.35">
      <c r="C17" s="5">
        <v>38</v>
      </c>
      <c r="D17" s="4" t="s">
        <v>10</v>
      </c>
      <c r="E17" s="5">
        <v>14</v>
      </c>
      <c r="F17" s="5">
        <v>80000</v>
      </c>
      <c r="G17" s="5">
        <f t="shared" si="1"/>
        <v>74451.843840262343</v>
      </c>
      <c r="H17" s="8">
        <f t="shared" si="2"/>
        <v>1048617.5188769344</v>
      </c>
      <c r="I17" s="5">
        <f t="shared" si="0"/>
        <v>1123069.3627171968</v>
      </c>
      <c r="M17" s="2">
        <f>SUM(F5:F28)</f>
        <v>1387310</v>
      </c>
      <c r="O17" s="2">
        <v>3241546</v>
      </c>
    </row>
    <row r="18" spans="3:15" x14ac:dyDescent="0.35">
      <c r="C18" s="5">
        <v>39</v>
      </c>
      <c r="D18" s="4" t="s">
        <v>11</v>
      </c>
      <c r="E18" s="7">
        <v>15</v>
      </c>
      <c r="F18" s="5">
        <v>80000</v>
      </c>
      <c r="G18" s="5">
        <f t="shared" si="1"/>
        <v>85417.924752920968</v>
      </c>
      <c r="H18" s="8">
        <f t="shared" si="2"/>
        <v>1203069.3627171968</v>
      </c>
      <c r="I18" s="7">
        <f t="shared" si="0"/>
        <v>1288487.2874701177</v>
      </c>
    </row>
    <row r="19" spans="3:15" x14ac:dyDescent="0.35">
      <c r="C19" s="5">
        <v>40</v>
      </c>
      <c r="D19" s="4" t="s">
        <v>12</v>
      </c>
      <c r="E19" s="5">
        <v>16</v>
      </c>
      <c r="F19" s="5">
        <v>80000</v>
      </c>
      <c r="G19" s="5">
        <f t="shared" si="1"/>
        <v>97162.597410378352</v>
      </c>
      <c r="H19" s="8">
        <f t="shared" si="2"/>
        <v>1368487.2874701177</v>
      </c>
      <c r="I19" s="5">
        <f t="shared" si="0"/>
        <v>1465649.884880496</v>
      </c>
    </row>
    <row r="20" spans="3:15" x14ac:dyDescent="0.35">
      <c r="C20" s="5">
        <v>41</v>
      </c>
      <c r="D20" s="4" t="s">
        <v>13</v>
      </c>
      <c r="E20" s="5">
        <v>17</v>
      </c>
      <c r="F20" s="5">
        <v>80000</v>
      </c>
      <c r="G20" s="5">
        <f t="shared" si="1"/>
        <v>109741.1418265152</v>
      </c>
      <c r="H20" s="8">
        <f t="shared" si="2"/>
        <v>1545649.884880496</v>
      </c>
      <c r="I20" s="5">
        <f t="shared" si="0"/>
        <v>1655391.0267070113</v>
      </c>
    </row>
    <row r="21" spans="3:15" x14ac:dyDescent="0.35">
      <c r="C21" s="5">
        <v>42</v>
      </c>
      <c r="D21" s="4" t="s">
        <v>14</v>
      </c>
      <c r="E21" s="5">
        <v>18</v>
      </c>
      <c r="F21" s="5">
        <v>80000</v>
      </c>
      <c r="G21" s="5">
        <f t="shared" si="1"/>
        <v>123212.76289619779</v>
      </c>
      <c r="H21" s="8">
        <f t="shared" si="2"/>
        <v>1735391.0267070113</v>
      </c>
      <c r="I21" s="5">
        <f t="shared" si="0"/>
        <v>1858603.7896032091</v>
      </c>
    </row>
    <row r="22" spans="3:15" x14ac:dyDescent="0.35">
      <c r="C22" s="5">
        <v>43</v>
      </c>
      <c r="D22" s="4" t="s">
        <v>15</v>
      </c>
      <c r="E22" s="5">
        <v>19</v>
      </c>
      <c r="F22" s="5">
        <v>80000</v>
      </c>
      <c r="G22" s="5">
        <f t="shared" si="1"/>
        <v>137640.86906182783</v>
      </c>
      <c r="H22" s="8">
        <f t="shared" si="2"/>
        <v>1938603.7896032091</v>
      </c>
      <c r="I22" s="5">
        <f t="shared" si="0"/>
        <v>2076244.658665037</v>
      </c>
    </row>
    <row r="23" spans="3:15" x14ac:dyDescent="0.35">
      <c r="C23" s="5">
        <v>44</v>
      </c>
      <c r="D23" s="4" t="s">
        <v>16</v>
      </c>
      <c r="E23" s="7">
        <v>20</v>
      </c>
      <c r="F23" s="5">
        <v>80000</v>
      </c>
      <c r="G23" s="5">
        <f t="shared" si="1"/>
        <v>153093.37076521761</v>
      </c>
      <c r="H23" s="8">
        <f t="shared" si="2"/>
        <v>2156244.6586650368</v>
      </c>
      <c r="I23" s="7">
        <f t="shared" si="0"/>
        <v>2309338.0294302544</v>
      </c>
    </row>
    <row r="24" spans="3:15" x14ac:dyDescent="0.35">
      <c r="C24" s="5">
        <v>45</v>
      </c>
      <c r="D24" s="4" t="s">
        <v>17</v>
      </c>
      <c r="E24" s="5">
        <v>21</v>
      </c>
      <c r="F24" s="5">
        <v>50000</v>
      </c>
      <c r="G24" s="5">
        <f t="shared" si="1"/>
        <v>167513.00008954803</v>
      </c>
      <c r="H24" s="5"/>
      <c r="I24" s="5">
        <f t="shared" si="0"/>
        <v>2526851.0295198024</v>
      </c>
    </row>
    <row r="25" spans="3:15" x14ac:dyDescent="0.35">
      <c r="C25" s="5">
        <v>46</v>
      </c>
      <c r="D25" s="4" t="s">
        <v>18</v>
      </c>
      <c r="E25" s="5">
        <v>22</v>
      </c>
      <c r="F25" s="5">
        <v>50000</v>
      </c>
      <c r="G25" s="5">
        <f t="shared" si="1"/>
        <v>182956.42309590595</v>
      </c>
      <c r="H25" s="5"/>
      <c r="I25" s="5">
        <f t="shared" si="0"/>
        <v>2759807.4526157086</v>
      </c>
    </row>
    <row r="26" spans="3:15" x14ac:dyDescent="0.35">
      <c r="C26" s="5">
        <v>47</v>
      </c>
      <c r="D26" s="4" t="s">
        <v>27</v>
      </c>
      <c r="E26" s="5">
        <v>23</v>
      </c>
      <c r="F26" s="5">
        <v>50000</v>
      </c>
      <c r="G26" s="5">
        <f t="shared" si="1"/>
        <v>199496.32913571529</v>
      </c>
      <c r="H26" s="5"/>
      <c r="I26" s="5">
        <f t="shared" si="0"/>
        <v>3009303.7817514241</v>
      </c>
    </row>
    <row r="27" spans="3:15" x14ac:dyDescent="0.35">
      <c r="C27" s="5">
        <v>48</v>
      </c>
      <c r="D27" s="4" t="s">
        <v>28</v>
      </c>
      <c r="E27" s="5">
        <v>24</v>
      </c>
      <c r="F27" s="5">
        <v>50000</v>
      </c>
      <c r="G27" s="5">
        <f t="shared" si="1"/>
        <v>217210.5685043511</v>
      </c>
      <c r="H27" s="5"/>
      <c r="I27" s="5">
        <f t="shared" si="0"/>
        <v>3276514.3502557753</v>
      </c>
    </row>
    <row r="28" spans="3:15" x14ac:dyDescent="0.35">
      <c r="C28" s="5">
        <v>49</v>
      </c>
      <c r="D28" s="4" t="s">
        <v>29</v>
      </c>
      <c r="E28" s="7">
        <v>25</v>
      </c>
      <c r="F28" s="5">
        <v>50000</v>
      </c>
      <c r="G28" s="5">
        <f t="shared" si="1"/>
        <v>236182.51886816003</v>
      </c>
      <c r="H28" s="5"/>
      <c r="I28" s="7">
        <f t="shared" si="0"/>
        <v>3562696.8691239352</v>
      </c>
    </row>
    <row r="29" spans="3:15" x14ac:dyDescent="0.35">
      <c r="C29" s="5">
        <v>50</v>
      </c>
      <c r="D29" s="4" t="s">
        <v>32</v>
      </c>
      <c r="E29" s="5">
        <v>26</v>
      </c>
      <c r="F29" s="5">
        <v>50000</v>
      </c>
      <c r="G29" s="5">
        <f t="shared" si="1"/>
        <v>256501.47770779938</v>
      </c>
      <c r="H29" s="5"/>
      <c r="I29" s="5">
        <f t="shared" si="0"/>
        <v>3869198.3468317348</v>
      </c>
    </row>
    <row r="30" spans="3:15" x14ac:dyDescent="0.35">
      <c r="C30" s="5">
        <v>51</v>
      </c>
      <c r="D30" s="4" t="s">
        <v>33</v>
      </c>
      <c r="E30" s="5">
        <v>27</v>
      </c>
      <c r="F30" s="5">
        <v>50000</v>
      </c>
      <c r="G30" s="5">
        <f t="shared" si="1"/>
        <v>278263.08262505312</v>
      </c>
      <c r="H30" s="5"/>
      <c r="I30" s="5">
        <f t="shared" si="0"/>
        <v>4197461.4294567881</v>
      </c>
    </row>
    <row r="31" spans="3:15" x14ac:dyDescent="0.35">
      <c r="C31" s="5">
        <v>52</v>
      </c>
      <c r="D31" s="4" t="s">
        <v>34</v>
      </c>
      <c r="E31" s="5">
        <v>28</v>
      </c>
      <c r="F31" s="5">
        <v>50000</v>
      </c>
      <c r="G31" s="5">
        <f t="shared" si="1"/>
        <v>301569.76149143191</v>
      </c>
      <c r="H31" s="5"/>
      <c r="I31" s="5">
        <f t="shared" si="0"/>
        <v>4549031.19094822</v>
      </c>
    </row>
    <row r="32" spans="3:15" x14ac:dyDescent="0.35">
      <c r="C32" s="5">
        <v>53</v>
      </c>
      <c r="D32" s="4" t="s">
        <v>35</v>
      </c>
      <c r="E32" s="5">
        <v>29</v>
      </c>
      <c r="F32" s="5">
        <v>50000</v>
      </c>
      <c r="G32" s="5">
        <f t="shared" si="1"/>
        <v>326531.2145573236</v>
      </c>
      <c r="H32" s="5"/>
      <c r="I32" s="5">
        <f t="shared" si="0"/>
        <v>4925562.4055055436</v>
      </c>
    </row>
    <row r="33" spans="3:9" x14ac:dyDescent="0.35">
      <c r="C33" s="5">
        <v>54</v>
      </c>
      <c r="D33" s="4" t="s">
        <v>36</v>
      </c>
      <c r="E33" s="7">
        <v>30</v>
      </c>
      <c r="F33" s="5">
        <v>50000</v>
      </c>
      <c r="G33" s="5">
        <f t="shared" si="1"/>
        <v>353264.93079089356</v>
      </c>
      <c r="H33" s="5"/>
      <c r="I33" s="7">
        <f t="shared" si="0"/>
        <v>5328827.3362964373</v>
      </c>
    </row>
    <row r="34" spans="3:9" x14ac:dyDescent="0.35">
      <c r="C34" s="5">
        <v>55</v>
      </c>
      <c r="D34" s="4" t="s">
        <v>37</v>
      </c>
      <c r="E34" s="5">
        <v>31</v>
      </c>
      <c r="F34" s="5">
        <v>50000</v>
      </c>
      <c r="G34" s="5">
        <f t="shared" si="1"/>
        <v>381896.74087704701</v>
      </c>
      <c r="H34" s="5"/>
      <c r="I34" s="5">
        <f t="shared" si="0"/>
        <v>5760724.0771734845</v>
      </c>
    </row>
    <row r="35" spans="3:9" x14ac:dyDescent="0.35">
      <c r="C35" s="5">
        <v>56</v>
      </c>
      <c r="D35" s="4" t="s">
        <v>38</v>
      </c>
      <c r="E35" s="5">
        <v>32</v>
      </c>
      <c r="F35" s="5">
        <v>50000</v>
      </c>
      <c r="G35" s="5">
        <f t="shared" si="1"/>
        <v>412561.40947931737</v>
      </c>
      <c r="H35" s="5"/>
      <c r="I35" s="5">
        <f t="shared" si="0"/>
        <v>6223285.4866528017</v>
      </c>
    </row>
    <row r="36" spans="3:9" x14ac:dyDescent="0.35">
      <c r="C36" s="5">
        <v>57</v>
      </c>
      <c r="D36" s="4" t="s">
        <v>39</v>
      </c>
      <c r="E36" s="5">
        <v>33</v>
      </c>
      <c r="F36" s="5">
        <v>50000</v>
      </c>
      <c r="G36" s="5">
        <f t="shared" si="1"/>
        <v>445403.26955234888</v>
      </c>
      <c r="H36" s="5"/>
      <c r="I36" s="5">
        <f t="shared" si="0"/>
        <v>6718688.7562051509</v>
      </c>
    </row>
    <row r="37" spans="3:9" x14ac:dyDescent="0.35">
      <c r="C37" s="5">
        <v>58</v>
      </c>
      <c r="D37" s="4" t="s">
        <v>40</v>
      </c>
      <c r="E37" s="5">
        <v>34</v>
      </c>
      <c r="F37" s="5">
        <v>50000</v>
      </c>
      <c r="G37" s="5">
        <f t="shared" si="1"/>
        <v>480576.90169056569</v>
      </c>
      <c r="H37" s="5"/>
      <c r="I37" s="5">
        <f t="shared" si="0"/>
        <v>7249265.6578957168</v>
      </c>
    </row>
    <row r="38" spans="3:9" x14ac:dyDescent="0.35">
      <c r="C38" s="5">
        <v>59</v>
      </c>
      <c r="D38" s="4" t="s">
        <v>41</v>
      </c>
      <c r="E38" s="7">
        <v>35</v>
      </c>
      <c r="F38" s="5">
        <v>50000</v>
      </c>
      <c r="G38" s="5">
        <f t="shared" si="1"/>
        <v>518247.86171059584</v>
      </c>
      <c r="H38" s="5"/>
      <c r="I38" s="7">
        <f t="shared" si="0"/>
        <v>7817513.5196063127</v>
      </c>
    </row>
    <row r="39" spans="3:9" x14ac:dyDescent="0.35">
      <c r="C39" s="5">
        <v>60</v>
      </c>
      <c r="D39" s="4" t="s">
        <v>51</v>
      </c>
      <c r="E39" s="5">
        <v>36</v>
      </c>
      <c r="F39" s="5">
        <v>50000</v>
      </c>
      <c r="G39" s="5">
        <f t="shared" si="1"/>
        <v>558593.45989204815</v>
      </c>
      <c r="H39" s="4"/>
      <c r="I39" s="5">
        <f t="shared" si="0"/>
        <v>8426106.9794983603</v>
      </c>
    </row>
    <row r="40" spans="3:9" x14ac:dyDescent="0.35">
      <c r="C40" s="5">
        <v>61</v>
      </c>
      <c r="D40" s="4" t="s">
        <v>52</v>
      </c>
      <c r="E40" s="5">
        <v>37</v>
      </c>
      <c r="F40" s="5">
        <v>50000</v>
      </c>
      <c r="G40" s="5">
        <f t="shared" si="1"/>
        <v>601803.59554438351</v>
      </c>
      <c r="H40" s="4"/>
      <c r="I40" s="5">
        <f t="shared" si="0"/>
        <v>9077910.5750427432</v>
      </c>
    </row>
    <row r="41" spans="3:9" x14ac:dyDescent="0.35">
      <c r="C41" s="5">
        <v>62</v>
      </c>
      <c r="D41" s="4" t="s">
        <v>53</v>
      </c>
      <c r="E41" s="5">
        <v>38</v>
      </c>
      <c r="F41" s="5">
        <v>50000</v>
      </c>
      <c r="G41" s="5">
        <f t="shared" si="1"/>
        <v>648081.65082803473</v>
      </c>
      <c r="H41" s="4"/>
      <c r="I41" s="5">
        <f t="shared" si="0"/>
        <v>9775992.2258707788</v>
      </c>
    </row>
    <row r="42" spans="3:9" x14ac:dyDescent="0.35">
      <c r="C42" s="5">
        <v>63</v>
      </c>
      <c r="D42" s="4" t="s">
        <v>54</v>
      </c>
      <c r="E42" s="5">
        <v>39</v>
      </c>
      <c r="F42" s="5">
        <v>50000</v>
      </c>
      <c r="G42" s="5">
        <f t="shared" si="1"/>
        <v>697645.44803682528</v>
      </c>
      <c r="H42" s="4"/>
      <c r="I42" s="9">
        <f t="shared" si="0"/>
        <v>10523637.673907604</v>
      </c>
    </row>
    <row r="43" spans="3:9" x14ac:dyDescent="0.35">
      <c r="C43" s="5">
        <v>64</v>
      </c>
      <c r="D43" s="4" t="s">
        <v>55</v>
      </c>
      <c r="E43" s="7">
        <v>40</v>
      </c>
      <c r="F43" s="5">
        <v>50000</v>
      </c>
      <c r="G43" s="5">
        <f t="shared" si="1"/>
        <v>750728.27484743984</v>
      </c>
      <c r="H43" s="4"/>
      <c r="I43" s="9">
        <f t="shared" si="0"/>
        <v>11324365.948755044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ANBARASAN alagarsamy</dc:creator>
  <cp:lastModifiedBy>A, Anbarasan (WP)</cp:lastModifiedBy>
  <dcterms:created xsi:type="dcterms:W3CDTF">2018-05-07T13:42:08Z</dcterms:created>
  <dcterms:modified xsi:type="dcterms:W3CDTF">2026-03-31T13:51:35Z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2023-04-03T07:32:24Z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5d3482ce-1307-4f33-834a-e6caaa7a80ac</vt:lpwstr>
  </property>
  <property fmtid="{D5CDD505-2E9C-101B-9397-08002B2CF9AE}" pid="8" name="MSIP_Label_9e1e58c1-766d-4ff4-9619-b604fc37898b_ContentBits">
    <vt:lpwstr>0</vt:lpwstr>
  </property>
</Properties>
</file>