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B7FE6334-C1A2-E50D-BD3D-5F4D41BBC2E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Anbu\pers\"/>
    </mc:Choice>
  </mc:AlternateContent>
  <xr:revisionPtr revIDLastSave="0" documentId="8_{8BCEE419-E276-45E5-A93F-A1FC8905E0A7}" xr6:coauthVersionLast="36" xr6:coauthVersionMax="36" xr10:uidLastSave="{00000000-0000-0000-0000-000000000000}"/>
  <bookViews>
    <workbookView xWindow="930" yWindow="0" windowWidth="14640" windowHeight="7185" tabRatio="500" activeTab="3" xr2:uid="{00000000-000D-0000-FFFF-FFFF00000000}"/>
  </bookViews>
  <sheets>
    <sheet name="PPF Calculator" sheetId="5" r:id="rId1"/>
    <sheet name="Goal Calculator" sheetId="7" r:id="rId2"/>
    <sheet name="PPF Tracker" sheetId="6" r:id="rId3"/>
    <sheet name="Post 15 yearsTracker " sheetId="10" r:id="rId4"/>
    <sheet name="Interest Rate History" sheetId="8" r:id="rId5"/>
  </sheets>
  <definedNames>
    <definedName name="Freq" localSheetId="3">#REF!</definedName>
    <definedName name="Freq" localSheetId="2">#REF!</definedName>
    <definedName name="Inv" localSheetId="3">#REF!</definedName>
    <definedName name="Inv" localSheetId="2">#REF!</definedName>
    <definedName name="Maturity" localSheetId="3">#REF!</definedName>
    <definedName name="Maturity" localSheetId="2">#REF!</definedName>
    <definedName name="Rate" localSheetId="3">#REF!</definedName>
    <definedName name="Rate" localSheetId="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70" i="10" l="1"/>
  <c r="N169" i="10"/>
  <c r="N168" i="10"/>
  <c r="N167" i="10"/>
  <c r="N166" i="10"/>
  <c r="N165" i="10"/>
  <c r="N164" i="10"/>
  <c r="N163" i="10"/>
  <c r="N162" i="10"/>
  <c r="N161" i="10"/>
  <c r="N160" i="10"/>
  <c r="N159" i="10"/>
  <c r="N171" i="10"/>
  <c r="P162" i="10"/>
  <c r="D160" i="10"/>
  <c r="F80" i="10"/>
  <c r="F64" i="10"/>
  <c r="F48" i="10"/>
  <c r="F32" i="10"/>
  <c r="P36" i="10" s="1"/>
  <c r="F16" i="10"/>
  <c r="N155" i="10"/>
  <c r="N154" i="10"/>
  <c r="N153" i="10"/>
  <c r="N152" i="10"/>
  <c r="N151" i="10"/>
  <c r="N150" i="10"/>
  <c r="N149" i="10"/>
  <c r="N148" i="10"/>
  <c r="N147" i="10"/>
  <c r="P146" i="10"/>
  <c r="N146" i="10"/>
  <c r="N145" i="10"/>
  <c r="N144" i="10"/>
  <c r="D144" i="10"/>
  <c r="N143" i="10"/>
  <c r="N139" i="10"/>
  <c r="N138" i="10"/>
  <c r="N137" i="10"/>
  <c r="N136" i="10"/>
  <c r="N135" i="10"/>
  <c r="N134" i="10"/>
  <c r="N133" i="10"/>
  <c r="N132" i="10"/>
  <c r="N131" i="10"/>
  <c r="P130" i="10"/>
  <c r="N130" i="10"/>
  <c r="N129" i="10"/>
  <c r="N128" i="10"/>
  <c r="D128" i="10"/>
  <c r="N127" i="10"/>
  <c r="N123" i="10"/>
  <c r="N122" i="10"/>
  <c r="N121" i="10"/>
  <c r="N120" i="10"/>
  <c r="N119" i="10"/>
  <c r="N118" i="10"/>
  <c r="N117" i="10"/>
  <c r="N116" i="10"/>
  <c r="N115" i="10"/>
  <c r="P114" i="10"/>
  <c r="N114" i="10"/>
  <c r="N113" i="10"/>
  <c r="N112" i="10"/>
  <c r="D112" i="10"/>
  <c r="N111" i="10"/>
  <c r="N107" i="10"/>
  <c r="N106" i="10"/>
  <c r="N105" i="10"/>
  <c r="N104" i="10"/>
  <c r="N103" i="10"/>
  <c r="N102" i="10"/>
  <c r="N101" i="10"/>
  <c r="N100" i="10"/>
  <c r="N99" i="10"/>
  <c r="P98" i="10"/>
  <c r="N98" i="10"/>
  <c r="N97" i="10"/>
  <c r="N96" i="10"/>
  <c r="D96" i="10"/>
  <c r="N95" i="10"/>
  <c r="N91" i="10"/>
  <c r="N90" i="10"/>
  <c r="N89" i="10"/>
  <c r="N88" i="10"/>
  <c r="N87" i="10"/>
  <c r="N86" i="10"/>
  <c r="N85" i="10"/>
  <c r="N84" i="10"/>
  <c r="N83" i="10"/>
  <c r="P82" i="10"/>
  <c r="N82" i="10"/>
  <c r="N81" i="10"/>
  <c r="N80" i="10"/>
  <c r="D80" i="10"/>
  <c r="N79" i="10"/>
  <c r="N75" i="10"/>
  <c r="N74" i="10"/>
  <c r="N73" i="10"/>
  <c r="N72" i="10"/>
  <c r="N71" i="10"/>
  <c r="N70" i="10"/>
  <c r="N69" i="10"/>
  <c r="N68" i="10"/>
  <c r="N67" i="10"/>
  <c r="P66" i="10"/>
  <c r="N66" i="10"/>
  <c r="N65" i="10"/>
  <c r="N64" i="10"/>
  <c r="D64" i="10"/>
  <c r="N63" i="10"/>
  <c r="N59" i="10"/>
  <c r="P52" i="10" s="1"/>
  <c r="N58" i="10"/>
  <c r="N57" i="10"/>
  <c r="N56" i="10"/>
  <c r="N55" i="10"/>
  <c r="N54" i="10"/>
  <c r="N53" i="10"/>
  <c r="N52" i="10"/>
  <c r="N51" i="10"/>
  <c r="P50" i="10"/>
  <c r="N50" i="10"/>
  <c r="N49" i="10"/>
  <c r="N48" i="10"/>
  <c r="D48" i="10"/>
  <c r="N47" i="10"/>
  <c r="N43" i="10"/>
  <c r="N42" i="10"/>
  <c r="N41" i="10"/>
  <c r="N40" i="10"/>
  <c r="N39" i="10"/>
  <c r="N38" i="10"/>
  <c r="N37" i="10"/>
  <c r="N36" i="10"/>
  <c r="N35" i="10"/>
  <c r="P34" i="10"/>
  <c r="N34" i="10"/>
  <c r="N33" i="10"/>
  <c r="N32" i="10"/>
  <c r="D32" i="10"/>
  <c r="N31" i="10"/>
  <c r="N27" i="10"/>
  <c r="N26" i="10"/>
  <c r="N25" i="10"/>
  <c r="N24" i="10"/>
  <c r="N23" i="10"/>
  <c r="N22" i="10"/>
  <c r="N21" i="10"/>
  <c r="N20" i="10"/>
  <c r="N19" i="10"/>
  <c r="P18" i="10"/>
  <c r="N18" i="10"/>
  <c r="N17" i="10"/>
  <c r="N16" i="10"/>
  <c r="D16" i="10"/>
  <c r="N15" i="10"/>
  <c r="N249" i="6"/>
  <c r="N248" i="6"/>
  <c r="N247" i="6"/>
  <c r="N246" i="6"/>
  <c r="N245" i="6"/>
  <c r="N244" i="6"/>
  <c r="N243" i="6"/>
  <c r="N242" i="6"/>
  <c r="N241" i="6"/>
  <c r="N240" i="6"/>
  <c r="N239" i="6"/>
  <c r="N238" i="6"/>
  <c r="N224" i="6"/>
  <c r="N225" i="6"/>
  <c r="N226" i="6"/>
  <c r="N227" i="6"/>
  <c r="N228" i="6"/>
  <c r="N229" i="6"/>
  <c r="N230" i="6"/>
  <c r="N231" i="6"/>
  <c r="N232" i="6"/>
  <c r="N233" i="6"/>
  <c r="N222" i="6"/>
  <c r="N223" i="6"/>
  <c r="N217" i="6"/>
  <c r="N216" i="6"/>
  <c r="N215" i="6"/>
  <c r="N214" i="6"/>
  <c r="N213" i="6"/>
  <c r="N212" i="6"/>
  <c r="N211" i="6"/>
  <c r="N210" i="6"/>
  <c r="N209" i="6"/>
  <c r="N208" i="6"/>
  <c r="N207" i="6"/>
  <c r="N206" i="6"/>
  <c r="N201" i="6"/>
  <c r="N200" i="6"/>
  <c r="N199" i="6"/>
  <c r="N198" i="6"/>
  <c r="N197" i="6"/>
  <c r="N196" i="6"/>
  <c r="N195" i="6"/>
  <c r="N194" i="6"/>
  <c r="N193" i="6"/>
  <c r="N192" i="6"/>
  <c r="N191" i="6"/>
  <c r="N190" i="6"/>
  <c r="N185" i="6"/>
  <c r="N184" i="6"/>
  <c r="N183" i="6"/>
  <c r="N182" i="6"/>
  <c r="N181" i="6"/>
  <c r="N180" i="6"/>
  <c r="N179" i="6"/>
  <c r="N178" i="6"/>
  <c r="N177" i="6"/>
  <c r="N176" i="6"/>
  <c r="N175" i="6"/>
  <c r="N174" i="6"/>
  <c r="N169" i="6"/>
  <c r="N168" i="6"/>
  <c r="N167" i="6"/>
  <c r="N166" i="6"/>
  <c r="N165" i="6"/>
  <c r="N164" i="6"/>
  <c r="N163" i="6"/>
  <c r="N162" i="6"/>
  <c r="N161" i="6"/>
  <c r="N160" i="6"/>
  <c r="N159" i="6"/>
  <c r="N158" i="6"/>
  <c r="N153" i="6"/>
  <c r="N152" i="6"/>
  <c r="N151" i="6"/>
  <c r="N150" i="6"/>
  <c r="N149" i="6"/>
  <c r="N148" i="6"/>
  <c r="N147" i="6"/>
  <c r="N146" i="6"/>
  <c r="N145" i="6"/>
  <c r="N144" i="6"/>
  <c r="N143" i="6"/>
  <c r="N142" i="6"/>
  <c r="N130" i="6"/>
  <c r="N131" i="6"/>
  <c r="N132" i="6"/>
  <c r="N133" i="6"/>
  <c r="N134" i="6"/>
  <c r="N135" i="6"/>
  <c r="N136" i="6"/>
  <c r="N137" i="6"/>
  <c r="N126" i="6"/>
  <c r="N127" i="6"/>
  <c r="N128" i="6"/>
  <c r="N129" i="6"/>
  <c r="N250" i="6"/>
  <c r="N234" i="6"/>
  <c r="N218" i="6"/>
  <c r="N202" i="6"/>
  <c r="N186" i="6"/>
  <c r="N170" i="6"/>
  <c r="N154" i="6"/>
  <c r="N138" i="6"/>
  <c r="N122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D93" i="6"/>
  <c r="D77" i="6"/>
  <c r="D61" i="6"/>
  <c r="D45" i="6"/>
  <c r="L25" i="6"/>
  <c r="L24" i="6"/>
  <c r="L23" i="6"/>
  <c r="M23" i="6" s="1"/>
  <c r="L22" i="6"/>
  <c r="L21" i="6"/>
  <c r="L20" i="6"/>
  <c r="L19" i="6"/>
  <c r="M19" i="6" s="1"/>
  <c r="L18" i="6"/>
  <c r="L17" i="6"/>
  <c r="L16" i="6"/>
  <c r="L15" i="6"/>
  <c r="M15" i="6" s="1"/>
  <c r="L26" i="6" s="1"/>
  <c r="L14" i="6"/>
  <c r="D44" i="6"/>
  <c r="L1" i="7"/>
  <c r="L2" i="7" s="1"/>
  <c r="A12" i="7" s="1"/>
  <c r="D239" i="6"/>
  <c r="D223" i="6"/>
  <c r="D207" i="6"/>
  <c r="D191" i="6"/>
  <c r="D175" i="6"/>
  <c r="D159" i="6"/>
  <c r="D143" i="6"/>
  <c r="D127" i="6"/>
  <c r="D111" i="6"/>
  <c r="D92" i="6"/>
  <c r="D76" i="6"/>
  <c r="D60" i="6"/>
  <c r="P241" i="6"/>
  <c r="P225" i="6"/>
  <c r="P209" i="6"/>
  <c r="P193" i="6"/>
  <c r="P177" i="6"/>
  <c r="P161" i="6"/>
  <c r="P145" i="6"/>
  <c r="P129" i="6"/>
  <c r="P113" i="6"/>
  <c r="P97" i="6"/>
  <c r="P81" i="6"/>
  <c r="P65" i="6"/>
  <c r="P49" i="6"/>
  <c r="M14" i="6"/>
  <c r="P33" i="6"/>
  <c r="P17" i="6"/>
  <c r="E13" i="5"/>
  <c r="I14" i="5"/>
  <c r="J14" i="5" s="1"/>
  <c r="I15" i="5"/>
  <c r="I16" i="5"/>
  <c r="I17" i="5"/>
  <c r="I18" i="5"/>
  <c r="I19" i="5"/>
  <c r="I20" i="5"/>
  <c r="I21" i="5"/>
  <c r="I22" i="5"/>
  <c r="I23" i="5"/>
  <c r="I24" i="5"/>
  <c r="I25" i="5"/>
  <c r="I30" i="5"/>
  <c r="I31" i="5"/>
  <c r="I32" i="5"/>
  <c r="I33" i="5"/>
  <c r="I34" i="5"/>
  <c r="I35" i="5"/>
  <c r="I36" i="5"/>
  <c r="I37" i="5"/>
  <c r="I38" i="5"/>
  <c r="I39" i="5"/>
  <c r="I40" i="5"/>
  <c r="I41" i="5"/>
  <c r="I46" i="5"/>
  <c r="I47" i="5"/>
  <c r="I48" i="5"/>
  <c r="I49" i="5"/>
  <c r="I50" i="5"/>
  <c r="I51" i="5"/>
  <c r="I52" i="5"/>
  <c r="I53" i="5"/>
  <c r="I54" i="5"/>
  <c r="I55" i="5"/>
  <c r="I56" i="5"/>
  <c r="I57" i="5"/>
  <c r="I62" i="5"/>
  <c r="I63" i="5"/>
  <c r="I64" i="5"/>
  <c r="I65" i="5"/>
  <c r="I66" i="5"/>
  <c r="I67" i="5"/>
  <c r="I68" i="5"/>
  <c r="I69" i="5"/>
  <c r="I70" i="5"/>
  <c r="I71" i="5"/>
  <c r="I72" i="5"/>
  <c r="I73" i="5"/>
  <c r="I78" i="5"/>
  <c r="I79" i="5"/>
  <c r="I80" i="5"/>
  <c r="I81" i="5"/>
  <c r="I82" i="5"/>
  <c r="I83" i="5"/>
  <c r="I84" i="5"/>
  <c r="I85" i="5"/>
  <c r="I86" i="5"/>
  <c r="I87" i="5"/>
  <c r="I88" i="5"/>
  <c r="I89" i="5"/>
  <c r="I94" i="5"/>
  <c r="I95" i="5"/>
  <c r="I96" i="5"/>
  <c r="I97" i="5"/>
  <c r="I98" i="5"/>
  <c r="I99" i="5"/>
  <c r="I100" i="5"/>
  <c r="I101" i="5"/>
  <c r="I102" i="5"/>
  <c r="I103" i="5"/>
  <c r="I104" i="5"/>
  <c r="I105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M16" i="6"/>
  <c r="M17" i="6"/>
  <c r="M18" i="6"/>
  <c r="M20" i="6"/>
  <c r="M21" i="6"/>
  <c r="M22" i="6"/>
  <c r="L25" i="10"/>
  <c r="M25" i="10"/>
  <c r="L23" i="10"/>
  <c r="M23" i="10" s="1"/>
  <c r="L21" i="10"/>
  <c r="M21" i="10"/>
  <c r="L20" i="10"/>
  <c r="M20" i="10" s="1"/>
  <c r="L17" i="10"/>
  <c r="M17" i="10" s="1"/>
  <c r="P20" i="10"/>
  <c r="L15" i="10"/>
  <c r="M15" i="10"/>
  <c r="L26" i="10"/>
  <c r="M26" i="10" s="1"/>
  <c r="L24" i="10"/>
  <c r="M24" i="10" s="1"/>
  <c r="L22" i="10"/>
  <c r="M22" i="10" s="1"/>
  <c r="L19" i="10"/>
  <c r="M19" i="10" s="1"/>
  <c r="L18" i="10"/>
  <c r="M18" i="10" s="1"/>
  <c r="L16" i="10"/>
  <c r="M16" i="10" s="1"/>
  <c r="M24" i="6"/>
  <c r="M25" i="6"/>
  <c r="P68" i="10"/>
  <c r="P84" i="10"/>
  <c r="L27" i="10" l="1"/>
  <c r="L31" i="10"/>
  <c r="M31" i="10" s="1"/>
  <c r="L40" i="10"/>
  <c r="M40" i="10" s="1"/>
  <c r="L35" i="10"/>
  <c r="M35" i="10" s="1"/>
  <c r="L32" i="10"/>
  <c r="M32" i="10" s="1"/>
  <c r="L39" i="10"/>
  <c r="M39" i="10" s="1"/>
  <c r="L36" i="10"/>
  <c r="M36" i="10" s="1"/>
  <c r="L42" i="10"/>
  <c r="M42" i="10" s="1"/>
  <c r="L38" i="10"/>
  <c r="M38" i="10" s="1"/>
  <c r="L34" i="10"/>
  <c r="M34" i="10" s="1"/>
  <c r="L43" i="10" s="1"/>
  <c r="L41" i="10"/>
  <c r="M41" i="10" s="1"/>
  <c r="L37" i="10"/>
  <c r="M37" i="10" s="1"/>
  <c r="L33" i="10"/>
  <c r="M33" i="10" s="1"/>
  <c r="L32" i="6"/>
  <c r="M32" i="6" s="1"/>
  <c r="L38" i="6"/>
  <c r="M38" i="6" s="1"/>
  <c r="L35" i="6"/>
  <c r="M35" i="6" s="1"/>
  <c r="L36" i="6"/>
  <c r="M36" i="6" s="1"/>
  <c r="L33" i="6"/>
  <c r="M33" i="6" s="1"/>
  <c r="L39" i="6"/>
  <c r="M39" i="6" s="1"/>
  <c r="L40" i="6"/>
  <c r="M40" i="6" s="1"/>
  <c r="L37" i="6"/>
  <c r="M37" i="6" s="1"/>
  <c r="L30" i="6"/>
  <c r="M30" i="6" s="1"/>
  <c r="L42" i="6" s="1"/>
  <c r="F45" i="6"/>
  <c r="L41" i="6"/>
  <c r="M41" i="6" s="1"/>
  <c r="L34" i="6"/>
  <c r="M34" i="6" s="1"/>
  <c r="L31" i="6"/>
  <c r="M31" i="6" s="1"/>
  <c r="J15" i="5"/>
  <c r="K14" i="5"/>
  <c r="L57" i="6" l="1"/>
  <c r="M57" i="6" s="1"/>
  <c r="L49" i="6"/>
  <c r="M49" i="6" s="1"/>
  <c r="L52" i="6"/>
  <c r="M52" i="6" s="1"/>
  <c r="F61" i="6"/>
  <c r="L51" i="6"/>
  <c r="M51" i="6" s="1"/>
  <c r="L54" i="6"/>
  <c r="M54" i="6" s="1"/>
  <c r="L46" i="6"/>
  <c r="M46" i="6" s="1"/>
  <c r="L53" i="6"/>
  <c r="M53" i="6" s="1"/>
  <c r="L56" i="6"/>
  <c r="M56" i="6" s="1"/>
  <c r="L48" i="6"/>
  <c r="M48" i="6" s="1"/>
  <c r="L55" i="6"/>
  <c r="M55" i="6" s="1"/>
  <c r="L47" i="6"/>
  <c r="M47" i="6" s="1"/>
  <c r="L50" i="6"/>
  <c r="M50" i="6" s="1"/>
  <c r="L47" i="10"/>
  <c r="M47" i="10" s="1"/>
  <c r="L56" i="10"/>
  <c r="M56" i="10" s="1"/>
  <c r="L51" i="10"/>
  <c r="M51" i="10" s="1"/>
  <c r="L48" i="10"/>
  <c r="M48" i="10" s="1"/>
  <c r="L55" i="10"/>
  <c r="M55" i="10" s="1"/>
  <c r="L52" i="10"/>
  <c r="M52" i="10" s="1"/>
  <c r="L58" i="10"/>
  <c r="M58" i="10" s="1"/>
  <c r="L54" i="10"/>
  <c r="M54" i="10" s="1"/>
  <c r="L50" i="10"/>
  <c r="M50" i="10" s="1"/>
  <c r="L57" i="10"/>
  <c r="M57" i="10" s="1"/>
  <c r="L53" i="10"/>
  <c r="M53" i="10" s="1"/>
  <c r="L49" i="10"/>
  <c r="M49" i="10" s="1"/>
  <c r="J16" i="5"/>
  <c r="K15" i="5"/>
  <c r="L58" i="6" l="1"/>
  <c r="L59" i="10"/>
  <c r="L67" i="10" s="1"/>
  <c r="M67" i="10" s="1"/>
  <c r="L63" i="10"/>
  <c r="M63" i="10" s="1"/>
  <c r="L71" i="10"/>
  <c r="M71" i="10" s="1"/>
  <c r="L66" i="10"/>
  <c r="M66" i="10" s="1"/>
  <c r="L71" i="6"/>
  <c r="M71" i="6" s="1"/>
  <c r="L63" i="6"/>
  <c r="M63" i="6" s="1"/>
  <c r="L66" i="6"/>
  <c r="M66" i="6" s="1"/>
  <c r="L73" i="6"/>
  <c r="M73" i="6" s="1"/>
  <c r="L65" i="6"/>
  <c r="M65" i="6" s="1"/>
  <c r="L68" i="6"/>
  <c r="M68" i="6" s="1"/>
  <c r="F77" i="6"/>
  <c r="L67" i="6"/>
  <c r="M67" i="6" s="1"/>
  <c r="L70" i="6"/>
  <c r="M70" i="6" s="1"/>
  <c r="L62" i="6"/>
  <c r="M62" i="6" s="1"/>
  <c r="L69" i="6"/>
  <c r="M69" i="6" s="1"/>
  <c r="L72" i="6"/>
  <c r="M72" i="6" s="1"/>
  <c r="L64" i="6"/>
  <c r="M64" i="6" s="1"/>
  <c r="L74" i="6" s="1"/>
  <c r="K16" i="5"/>
  <c r="J17" i="5"/>
  <c r="L65" i="10" l="1"/>
  <c r="M65" i="10" s="1"/>
  <c r="L70" i="10"/>
  <c r="M70" i="10" s="1"/>
  <c r="L64" i="10"/>
  <c r="M64" i="10" s="1"/>
  <c r="L73" i="10"/>
  <c r="M73" i="10" s="1"/>
  <c r="L68" i="10"/>
  <c r="M68" i="10" s="1"/>
  <c r="L72" i="10"/>
  <c r="M72" i="10" s="1"/>
  <c r="L69" i="10"/>
  <c r="M69" i="10" s="1"/>
  <c r="L74" i="10"/>
  <c r="M74" i="10" s="1"/>
  <c r="L89" i="6"/>
  <c r="M89" i="6" s="1"/>
  <c r="L81" i="6"/>
  <c r="M81" i="6" s="1"/>
  <c r="L84" i="6"/>
  <c r="M84" i="6" s="1"/>
  <c r="F93" i="6"/>
  <c r="L83" i="6"/>
  <c r="M83" i="6" s="1"/>
  <c r="L86" i="6"/>
  <c r="M86" i="6" s="1"/>
  <c r="L78" i="6"/>
  <c r="M78" i="6" s="1"/>
  <c r="L85" i="6"/>
  <c r="M85" i="6" s="1"/>
  <c r="L88" i="6"/>
  <c r="M88" i="6" s="1"/>
  <c r="L80" i="6"/>
  <c r="M80" i="6" s="1"/>
  <c r="L87" i="6"/>
  <c r="M87" i="6" s="1"/>
  <c r="L79" i="6"/>
  <c r="M79" i="6" s="1"/>
  <c r="L82" i="6"/>
  <c r="M82" i="6" s="1"/>
  <c r="J18" i="5"/>
  <c r="K17" i="5"/>
  <c r="L75" i="10" l="1"/>
  <c r="L90" i="6"/>
  <c r="L94" i="6" s="1"/>
  <c r="M94" i="6" s="1"/>
  <c r="L99" i="6"/>
  <c r="M99" i="6" s="1"/>
  <c r="L104" i="6"/>
  <c r="M104" i="6" s="1"/>
  <c r="L98" i="6"/>
  <c r="M98" i="6" s="1"/>
  <c r="J19" i="5"/>
  <c r="K18" i="5"/>
  <c r="L105" i="6" l="1"/>
  <c r="M105" i="6" s="1"/>
  <c r="L96" i="6"/>
  <c r="M96" i="6" s="1"/>
  <c r="L102" i="6"/>
  <c r="M102" i="6" s="1"/>
  <c r="L100" i="6"/>
  <c r="M100" i="6" s="1"/>
  <c r="L95" i="6"/>
  <c r="M95" i="6" s="1"/>
  <c r="L106" i="6" s="1"/>
  <c r="L101" i="6"/>
  <c r="M101" i="6" s="1"/>
  <c r="L97" i="6"/>
  <c r="M97" i="6" s="1"/>
  <c r="L103" i="6"/>
  <c r="M103" i="6" s="1"/>
  <c r="L80" i="10"/>
  <c r="M80" i="10" s="1"/>
  <c r="L86" i="10"/>
  <c r="M86" i="10" s="1"/>
  <c r="L81" i="10"/>
  <c r="M81" i="10" s="1"/>
  <c r="L87" i="10"/>
  <c r="M87" i="10" s="1"/>
  <c r="L83" i="10"/>
  <c r="M83" i="10" s="1"/>
  <c r="L90" i="10"/>
  <c r="M90" i="10" s="1"/>
  <c r="L85" i="10"/>
  <c r="M85" i="10" s="1"/>
  <c r="L79" i="10"/>
  <c r="M79" i="10" s="1"/>
  <c r="L82" i="10"/>
  <c r="M82" i="10" s="1"/>
  <c r="L88" i="10"/>
  <c r="M88" i="10" s="1"/>
  <c r="L84" i="10"/>
  <c r="M84" i="10" s="1"/>
  <c r="L89" i="10"/>
  <c r="M89" i="10" s="1"/>
  <c r="J20" i="5"/>
  <c r="K19" i="5"/>
  <c r="F111" i="6" l="1"/>
  <c r="P115" i="6" s="1"/>
  <c r="L119" i="6"/>
  <c r="M119" i="6" s="1"/>
  <c r="L113" i="6"/>
  <c r="M113" i="6" s="1"/>
  <c r="L115" i="6"/>
  <c r="M115" i="6" s="1"/>
  <c r="L117" i="6"/>
  <c r="M117" i="6" s="1"/>
  <c r="L116" i="6"/>
  <c r="M116" i="6" s="1"/>
  <c r="L118" i="6"/>
  <c r="M118" i="6" s="1"/>
  <c r="L120" i="6"/>
  <c r="M120" i="6" s="1"/>
  <c r="L114" i="6"/>
  <c r="M114" i="6" s="1"/>
  <c r="L110" i="6"/>
  <c r="M110" i="6" s="1"/>
  <c r="L112" i="6"/>
  <c r="M112" i="6" s="1"/>
  <c r="L121" i="6"/>
  <c r="M121" i="6" s="1"/>
  <c r="L111" i="6"/>
  <c r="M111" i="6" s="1"/>
  <c r="L91" i="10"/>
  <c r="J21" i="5"/>
  <c r="K20" i="5"/>
  <c r="L122" i="6" l="1"/>
  <c r="L104" i="10"/>
  <c r="M104" i="10" s="1"/>
  <c r="L103" i="10"/>
  <c r="M103" i="10" s="1"/>
  <c r="L106" i="10"/>
  <c r="M106" i="10" s="1"/>
  <c r="L105" i="10"/>
  <c r="M105" i="10" s="1"/>
  <c r="L99" i="10"/>
  <c r="M99" i="10" s="1"/>
  <c r="L100" i="10"/>
  <c r="M100" i="10" s="1"/>
  <c r="L101" i="10"/>
  <c r="M101" i="10" s="1"/>
  <c r="L97" i="10"/>
  <c r="M97" i="10" s="1"/>
  <c r="L95" i="10"/>
  <c r="M95" i="10" s="1"/>
  <c r="F128" i="10"/>
  <c r="P132" i="10" s="1"/>
  <c r="F144" i="10"/>
  <c r="P148" i="10" s="1"/>
  <c r="F96" i="10"/>
  <c r="P100" i="10" s="1"/>
  <c r="L102" i="10"/>
  <c r="M102" i="10" s="1"/>
  <c r="F112" i="10"/>
  <c r="P116" i="10" s="1"/>
  <c r="L96" i="10"/>
  <c r="M96" i="10" s="1"/>
  <c r="L107" i="10" s="1"/>
  <c r="F160" i="10"/>
  <c r="P164" i="10" s="1"/>
  <c r="L98" i="10"/>
  <c r="M98" i="10" s="1"/>
  <c r="K21" i="5"/>
  <c r="J22" i="5"/>
  <c r="L115" i="10" l="1"/>
  <c r="M115" i="10" s="1"/>
  <c r="L122" i="10"/>
  <c r="M122" i="10" s="1"/>
  <c r="L117" i="10"/>
  <c r="M117" i="10" s="1"/>
  <c r="L118" i="10"/>
  <c r="M118" i="10" s="1"/>
  <c r="L113" i="10"/>
  <c r="M113" i="10" s="1"/>
  <c r="L111" i="10"/>
  <c r="M111" i="10" s="1"/>
  <c r="L114" i="10"/>
  <c r="M114" i="10" s="1"/>
  <c r="L120" i="10"/>
  <c r="M120" i="10" s="1"/>
  <c r="L116" i="10"/>
  <c r="M116" i="10" s="1"/>
  <c r="L121" i="10"/>
  <c r="M121" i="10" s="1"/>
  <c r="L112" i="10"/>
  <c r="M112" i="10" s="1"/>
  <c r="L123" i="10" s="1"/>
  <c r="L119" i="10"/>
  <c r="M119" i="10" s="1"/>
  <c r="L126" i="6"/>
  <c r="M126" i="6" s="1"/>
  <c r="L128" i="6"/>
  <c r="M128" i="6" s="1"/>
  <c r="L137" i="6"/>
  <c r="M137" i="6" s="1"/>
  <c r="L134" i="6"/>
  <c r="M134" i="6" s="1"/>
  <c r="L136" i="6"/>
  <c r="M136" i="6" s="1"/>
  <c r="L130" i="6"/>
  <c r="M130" i="6" s="1"/>
  <c r="F127" i="6"/>
  <c r="P131" i="6" s="1"/>
  <c r="L135" i="6"/>
  <c r="M135" i="6" s="1"/>
  <c r="L129" i="6"/>
  <c r="M129" i="6" s="1"/>
  <c r="L131" i="6"/>
  <c r="M131" i="6" s="1"/>
  <c r="L133" i="6"/>
  <c r="M133" i="6" s="1"/>
  <c r="L127" i="6"/>
  <c r="M127" i="6" s="1"/>
  <c r="L132" i="6"/>
  <c r="M132" i="6" s="1"/>
  <c r="K22" i="5"/>
  <c r="J23" i="5"/>
  <c r="L132" i="10" l="1"/>
  <c r="M132" i="10" s="1"/>
  <c r="L137" i="10"/>
  <c r="M137" i="10" s="1"/>
  <c r="L136" i="10"/>
  <c r="M136" i="10" s="1"/>
  <c r="L128" i="10"/>
  <c r="M128" i="10" s="1"/>
  <c r="L135" i="10"/>
  <c r="M135" i="10" s="1"/>
  <c r="L130" i="10"/>
  <c r="M130" i="10" s="1"/>
  <c r="L138" i="10"/>
  <c r="M138" i="10" s="1"/>
  <c r="L133" i="10"/>
  <c r="M133" i="10" s="1"/>
  <c r="L131" i="10"/>
  <c r="M131" i="10" s="1"/>
  <c r="L134" i="10"/>
  <c r="M134" i="10" s="1"/>
  <c r="L129" i="10"/>
  <c r="M129" i="10" s="1"/>
  <c r="L127" i="10"/>
  <c r="M127" i="10" s="1"/>
  <c r="L139" i="10" s="1"/>
  <c r="L138" i="6"/>
  <c r="J24" i="5"/>
  <c r="K23" i="5"/>
  <c r="L150" i="10" l="1"/>
  <c r="M150" i="10" s="1"/>
  <c r="L145" i="10"/>
  <c r="M145" i="10" s="1"/>
  <c r="L144" i="10"/>
  <c r="M144" i="10" s="1"/>
  <c r="L153" i="10"/>
  <c r="M153" i="10" s="1"/>
  <c r="L152" i="10"/>
  <c r="M152" i="10" s="1"/>
  <c r="L148" i="10"/>
  <c r="M148" i="10" s="1"/>
  <c r="L149" i="10"/>
  <c r="M149" i="10" s="1"/>
  <c r="L146" i="10"/>
  <c r="M146" i="10" s="1"/>
  <c r="L143" i="10"/>
  <c r="M143" i="10" s="1"/>
  <c r="L151" i="10"/>
  <c r="M151" i="10" s="1"/>
  <c r="L154" i="10"/>
  <c r="M154" i="10" s="1"/>
  <c r="L147" i="10"/>
  <c r="M147" i="10" s="1"/>
  <c r="L143" i="6"/>
  <c r="M143" i="6" s="1"/>
  <c r="L145" i="6"/>
  <c r="M145" i="6" s="1"/>
  <c r="L142" i="6"/>
  <c r="M142" i="6" s="1"/>
  <c r="F143" i="6"/>
  <c r="P147" i="6" s="1"/>
  <c r="L151" i="6"/>
  <c r="M151" i="6" s="1"/>
  <c r="L150" i="6"/>
  <c r="M150" i="6" s="1"/>
  <c r="L146" i="6"/>
  <c r="M146" i="6" s="1"/>
  <c r="L148" i="6"/>
  <c r="M148" i="6" s="1"/>
  <c r="L149" i="6"/>
  <c r="M149" i="6" s="1"/>
  <c r="L147" i="6"/>
  <c r="M147" i="6" s="1"/>
  <c r="L152" i="6"/>
  <c r="M152" i="6" s="1"/>
  <c r="L153" i="6"/>
  <c r="M153" i="6" s="1"/>
  <c r="L144" i="6"/>
  <c r="M144" i="6" s="1"/>
  <c r="K24" i="5"/>
  <c r="J25" i="5"/>
  <c r="L154" i="6" l="1"/>
  <c r="L155" i="10"/>
  <c r="K25" i="5"/>
  <c r="J26" i="5" s="1"/>
  <c r="J30" i="5" s="1"/>
  <c r="L163" i="10" l="1"/>
  <c r="M163" i="10" s="1"/>
  <c r="L160" i="10"/>
  <c r="M160" i="10" s="1"/>
  <c r="L170" i="10"/>
  <c r="M170" i="10" s="1"/>
  <c r="L168" i="10"/>
  <c r="M168" i="10" s="1"/>
  <c r="L162" i="10"/>
  <c r="M162" i="10" s="1"/>
  <c r="L167" i="10"/>
  <c r="M167" i="10" s="1"/>
  <c r="L161" i="10"/>
  <c r="M161" i="10" s="1"/>
  <c r="L159" i="10"/>
  <c r="M159" i="10" s="1"/>
  <c r="L169" i="10"/>
  <c r="M169" i="10" s="1"/>
  <c r="L166" i="10"/>
  <c r="M166" i="10" s="1"/>
  <c r="L165" i="10"/>
  <c r="M165" i="10" s="1"/>
  <c r="L164" i="10"/>
  <c r="M164" i="10" s="1"/>
  <c r="L162" i="6"/>
  <c r="M162" i="6" s="1"/>
  <c r="F159" i="6"/>
  <c r="P163" i="6" s="1"/>
  <c r="L165" i="6"/>
  <c r="M165" i="6" s="1"/>
  <c r="L167" i="6"/>
  <c r="M167" i="6" s="1"/>
  <c r="L166" i="6"/>
  <c r="M166" i="6" s="1"/>
  <c r="L164" i="6"/>
  <c r="M164" i="6" s="1"/>
  <c r="L169" i="6"/>
  <c r="M169" i="6" s="1"/>
  <c r="L163" i="6"/>
  <c r="M163" i="6" s="1"/>
  <c r="L168" i="6"/>
  <c r="M168" i="6" s="1"/>
  <c r="L161" i="6"/>
  <c r="M161" i="6" s="1"/>
  <c r="L160" i="6"/>
  <c r="M160" i="6" s="1"/>
  <c r="L159" i="6"/>
  <c r="M159" i="6" s="1"/>
  <c r="L158" i="6"/>
  <c r="M158" i="6" s="1"/>
  <c r="J31" i="5"/>
  <c r="K30" i="5"/>
  <c r="L170" i="6" l="1"/>
  <c r="L171" i="10"/>
  <c r="K31" i="5"/>
  <c r="J32" i="5"/>
  <c r="L179" i="6" l="1"/>
  <c r="M179" i="6" s="1"/>
  <c r="L181" i="6"/>
  <c r="M181" i="6" s="1"/>
  <c r="L178" i="6"/>
  <c r="M178" i="6" s="1"/>
  <c r="L185" i="6"/>
  <c r="M185" i="6" s="1"/>
  <c r="L182" i="6"/>
  <c r="M182" i="6" s="1"/>
  <c r="L184" i="6"/>
  <c r="M184" i="6" s="1"/>
  <c r="L175" i="6"/>
  <c r="M175" i="6" s="1"/>
  <c r="L177" i="6"/>
  <c r="M177" i="6" s="1"/>
  <c r="L186" i="6" s="1"/>
  <c r="L174" i="6"/>
  <c r="M174" i="6" s="1"/>
  <c r="L176" i="6"/>
  <c r="M176" i="6" s="1"/>
  <c r="L180" i="6"/>
  <c r="M180" i="6" s="1"/>
  <c r="F175" i="6"/>
  <c r="P179" i="6" s="1"/>
  <c r="L183" i="6"/>
  <c r="M183" i="6" s="1"/>
  <c r="J33" i="5"/>
  <c r="K32" i="5"/>
  <c r="L195" i="6" l="1"/>
  <c r="M195" i="6" s="1"/>
  <c r="L197" i="6"/>
  <c r="M197" i="6" s="1"/>
  <c r="L191" i="6"/>
  <c r="M191" i="6" s="1"/>
  <c r="L199" i="6"/>
  <c r="M199" i="6" s="1"/>
  <c r="L193" i="6"/>
  <c r="M193" i="6" s="1"/>
  <c r="L190" i="6"/>
  <c r="M190" i="6" s="1"/>
  <c r="L192" i="6"/>
  <c r="M192" i="6" s="1"/>
  <c r="L196" i="6"/>
  <c r="M196" i="6" s="1"/>
  <c r="F191" i="6"/>
  <c r="P195" i="6" s="1"/>
  <c r="L194" i="6"/>
  <c r="M194" i="6" s="1"/>
  <c r="L201" i="6"/>
  <c r="M201" i="6" s="1"/>
  <c r="L198" i="6"/>
  <c r="M198" i="6" s="1"/>
  <c r="L200" i="6"/>
  <c r="M200" i="6" s="1"/>
  <c r="J34" i="5"/>
  <c r="K33" i="5"/>
  <c r="L202" i="6" l="1"/>
  <c r="J35" i="5"/>
  <c r="K34" i="5"/>
  <c r="L212" i="6" l="1"/>
  <c r="M212" i="6" s="1"/>
  <c r="L206" i="6"/>
  <c r="M206" i="6" s="1"/>
  <c r="L210" i="6"/>
  <c r="M210" i="6" s="1"/>
  <c r="L216" i="6"/>
  <c r="M216" i="6" s="1"/>
  <c r="L213" i="6"/>
  <c r="M213" i="6" s="1"/>
  <c r="L207" i="6"/>
  <c r="M207" i="6" s="1"/>
  <c r="L217" i="6"/>
  <c r="M217" i="6" s="1"/>
  <c r="L211" i="6"/>
  <c r="M211" i="6" s="1"/>
  <c r="L208" i="6"/>
  <c r="M208" i="6" s="1"/>
  <c r="L215" i="6"/>
  <c r="M215" i="6" s="1"/>
  <c r="L209" i="6"/>
  <c r="M209" i="6" s="1"/>
  <c r="L214" i="6"/>
  <c r="M214" i="6" s="1"/>
  <c r="F207" i="6"/>
  <c r="P211" i="6" s="1"/>
  <c r="J36" i="5"/>
  <c r="K35" i="5"/>
  <c r="L218" i="6" l="1"/>
  <c r="J37" i="5"/>
  <c r="K36" i="5"/>
  <c r="L223" i="6" l="1"/>
  <c r="M223" i="6" s="1"/>
  <c r="L230" i="6"/>
  <c r="M230" i="6" s="1"/>
  <c r="L222" i="6"/>
  <c r="M222" i="6" s="1"/>
  <c r="L224" i="6"/>
  <c r="M224" i="6" s="1"/>
  <c r="L227" i="6"/>
  <c r="M227" i="6" s="1"/>
  <c r="L231" i="6"/>
  <c r="M231" i="6" s="1"/>
  <c r="L225" i="6"/>
  <c r="M225" i="6" s="1"/>
  <c r="F223" i="6"/>
  <c r="P227" i="6" s="1"/>
  <c r="L232" i="6"/>
  <c r="M232" i="6" s="1"/>
  <c r="L226" i="6"/>
  <c r="M226" i="6" s="1"/>
  <c r="L229" i="6"/>
  <c r="M229" i="6" s="1"/>
  <c r="L228" i="6"/>
  <c r="M228" i="6" s="1"/>
  <c r="L233" i="6"/>
  <c r="M233" i="6" s="1"/>
  <c r="J38" i="5"/>
  <c r="K37" i="5"/>
  <c r="L234" i="6" l="1"/>
  <c r="J39" i="5"/>
  <c r="K38" i="5"/>
  <c r="L244" i="6" l="1"/>
  <c r="M244" i="6" s="1"/>
  <c r="L239" i="6"/>
  <c r="M239" i="6" s="1"/>
  <c r="L240" i="6"/>
  <c r="M240" i="6" s="1"/>
  <c r="L243" i="6"/>
  <c r="M243" i="6" s="1"/>
  <c r="L247" i="6"/>
  <c r="M247" i="6" s="1"/>
  <c r="L242" i="6"/>
  <c r="M242" i="6" s="1"/>
  <c r="L249" i="6"/>
  <c r="M249" i="6" s="1"/>
  <c r="L248" i="6"/>
  <c r="M248" i="6" s="1"/>
  <c r="F239" i="6"/>
  <c r="P243" i="6" s="1"/>
  <c r="L241" i="6"/>
  <c r="M241" i="6" s="1"/>
  <c r="L238" i="6"/>
  <c r="M238" i="6" s="1"/>
  <c r="L250" i="6" s="1"/>
  <c r="L245" i="6"/>
  <c r="M245" i="6" s="1"/>
  <c r="L246" i="6"/>
  <c r="M246" i="6" s="1"/>
  <c r="K39" i="5"/>
  <c r="J40" i="5"/>
  <c r="K40" i="5" l="1"/>
  <c r="J41" i="5"/>
  <c r="K41" i="5" l="1"/>
  <c r="J42" i="5" s="1"/>
  <c r="J46" i="5" s="1"/>
  <c r="J47" i="5" l="1"/>
  <c r="K46" i="5"/>
  <c r="K47" i="5" l="1"/>
  <c r="J48" i="5"/>
  <c r="J49" i="5" l="1"/>
  <c r="K48" i="5"/>
  <c r="K49" i="5" l="1"/>
  <c r="J50" i="5"/>
  <c r="K50" i="5" l="1"/>
  <c r="J51" i="5"/>
  <c r="K51" i="5" l="1"/>
  <c r="J52" i="5"/>
  <c r="J53" i="5" l="1"/>
  <c r="K52" i="5"/>
  <c r="K53" i="5" l="1"/>
  <c r="J54" i="5"/>
  <c r="K54" i="5" l="1"/>
  <c r="J55" i="5"/>
  <c r="K55" i="5" l="1"/>
  <c r="J56" i="5"/>
  <c r="K56" i="5" l="1"/>
  <c r="J57" i="5"/>
  <c r="J58" i="5" l="1"/>
  <c r="J62" i="5" s="1"/>
  <c r="K57" i="5"/>
  <c r="K62" i="5" l="1"/>
  <c r="J63" i="5"/>
  <c r="K63" i="5" l="1"/>
  <c r="J64" i="5"/>
  <c r="J65" i="5" l="1"/>
  <c r="K64" i="5"/>
  <c r="J66" i="5" l="1"/>
  <c r="K65" i="5"/>
  <c r="J67" i="5" l="1"/>
  <c r="K66" i="5"/>
  <c r="J68" i="5" l="1"/>
  <c r="K67" i="5"/>
  <c r="K68" i="5" l="1"/>
  <c r="J69" i="5"/>
  <c r="J70" i="5" l="1"/>
  <c r="K69" i="5"/>
  <c r="J71" i="5" l="1"/>
  <c r="K70" i="5"/>
  <c r="J72" i="5" l="1"/>
  <c r="K71" i="5"/>
  <c r="K72" i="5" l="1"/>
  <c r="J73" i="5"/>
  <c r="K73" i="5" l="1"/>
  <c r="J74" i="5" s="1"/>
  <c r="J78" i="5" s="1"/>
  <c r="K78" i="5" l="1"/>
  <c r="J79" i="5"/>
  <c r="K79" i="5" l="1"/>
  <c r="J80" i="5"/>
  <c r="K80" i="5" l="1"/>
  <c r="J81" i="5"/>
  <c r="J82" i="5" l="1"/>
  <c r="K81" i="5"/>
  <c r="J83" i="5" l="1"/>
  <c r="K82" i="5"/>
  <c r="J84" i="5" l="1"/>
  <c r="K83" i="5"/>
  <c r="J85" i="5" l="1"/>
  <c r="K84" i="5"/>
  <c r="K85" i="5" l="1"/>
  <c r="J86" i="5"/>
  <c r="J87" i="5" l="1"/>
  <c r="K86" i="5"/>
  <c r="J88" i="5" l="1"/>
  <c r="K87" i="5"/>
  <c r="J89" i="5" l="1"/>
  <c r="K88" i="5"/>
  <c r="K89" i="5" l="1"/>
  <c r="J90" i="5" s="1"/>
  <c r="J94" i="5" s="1"/>
  <c r="J95" i="5" l="1"/>
  <c r="K94" i="5"/>
  <c r="K95" i="5" l="1"/>
  <c r="J96" i="5"/>
  <c r="J97" i="5" l="1"/>
  <c r="K96" i="5"/>
  <c r="J98" i="5" l="1"/>
  <c r="K97" i="5"/>
  <c r="J99" i="5" l="1"/>
  <c r="K98" i="5"/>
  <c r="J100" i="5" l="1"/>
  <c r="K99" i="5"/>
  <c r="K100" i="5" l="1"/>
  <c r="J101" i="5"/>
  <c r="J102" i="5" l="1"/>
  <c r="K101" i="5"/>
  <c r="J103" i="5" l="1"/>
  <c r="K102" i="5"/>
  <c r="J104" i="5" l="1"/>
  <c r="K103" i="5"/>
  <c r="K104" i="5" l="1"/>
  <c r="J105" i="5"/>
  <c r="K105" i="5" l="1"/>
  <c r="J106" i="5" s="1"/>
  <c r="J110" i="5" s="1"/>
  <c r="K110" i="5" l="1"/>
  <c r="J111" i="5"/>
  <c r="K111" i="5" l="1"/>
  <c r="J112" i="5"/>
  <c r="K112" i="5" l="1"/>
  <c r="J113" i="5"/>
  <c r="J114" i="5" l="1"/>
  <c r="K113" i="5"/>
  <c r="J115" i="5" l="1"/>
  <c r="K114" i="5"/>
  <c r="J116" i="5" l="1"/>
  <c r="K115" i="5"/>
  <c r="J117" i="5" l="1"/>
  <c r="K116" i="5"/>
  <c r="J118" i="5" l="1"/>
  <c r="K117" i="5"/>
  <c r="J119" i="5" l="1"/>
  <c r="K118" i="5"/>
  <c r="K119" i="5" l="1"/>
  <c r="J120" i="5"/>
  <c r="J121" i="5" l="1"/>
  <c r="K120" i="5"/>
  <c r="K121" i="5" l="1"/>
  <c r="J122" i="5" s="1"/>
  <c r="J126" i="5" s="1"/>
  <c r="K126" i="5" l="1"/>
  <c r="J127" i="5"/>
  <c r="K127" i="5" l="1"/>
  <c r="J128" i="5"/>
  <c r="K128" i="5" l="1"/>
  <c r="J129" i="5"/>
  <c r="K129" i="5" l="1"/>
  <c r="J130" i="5"/>
  <c r="K130" i="5" l="1"/>
  <c r="J131" i="5"/>
  <c r="K131" i="5" l="1"/>
  <c r="J132" i="5"/>
  <c r="J133" i="5" l="1"/>
  <c r="K132" i="5"/>
  <c r="K133" i="5" l="1"/>
  <c r="J134" i="5"/>
  <c r="K134" i="5" l="1"/>
  <c r="J135" i="5"/>
  <c r="K135" i="5" l="1"/>
  <c r="J136" i="5"/>
  <c r="J137" i="5" l="1"/>
  <c r="K136" i="5"/>
  <c r="K137" i="5" l="1"/>
  <c r="J138" i="5" s="1"/>
  <c r="J142" i="5" s="1"/>
  <c r="K142" i="5" l="1"/>
  <c r="J143" i="5"/>
  <c r="J144" i="5" l="1"/>
  <c r="K143" i="5"/>
  <c r="K144" i="5" l="1"/>
  <c r="J145" i="5"/>
  <c r="J146" i="5" l="1"/>
  <c r="K145" i="5"/>
  <c r="K146" i="5" l="1"/>
  <c r="J147" i="5"/>
  <c r="J148" i="5" l="1"/>
  <c r="K147" i="5"/>
  <c r="K148" i="5" l="1"/>
  <c r="J149" i="5"/>
  <c r="J150" i="5" l="1"/>
  <c r="K149" i="5"/>
  <c r="K150" i="5" l="1"/>
  <c r="J151" i="5"/>
  <c r="J152" i="5" l="1"/>
  <c r="K151" i="5"/>
  <c r="K152" i="5" l="1"/>
  <c r="J153" i="5"/>
  <c r="K153" i="5" l="1"/>
  <c r="J154" i="5" s="1"/>
  <c r="J158" i="5" s="1"/>
  <c r="K158" i="5" l="1"/>
  <c r="J159" i="5"/>
  <c r="K159" i="5" l="1"/>
  <c r="J160" i="5"/>
  <c r="K160" i="5" l="1"/>
  <c r="J161" i="5"/>
  <c r="K161" i="5" l="1"/>
  <c r="J162" i="5"/>
  <c r="K162" i="5" l="1"/>
  <c r="J163" i="5"/>
  <c r="K163" i="5" l="1"/>
  <c r="J164" i="5"/>
  <c r="K164" i="5" l="1"/>
  <c r="J165" i="5"/>
  <c r="K165" i="5" l="1"/>
  <c r="J166" i="5"/>
  <c r="K166" i="5" l="1"/>
  <c r="J167" i="5"/>
  <c r="J168" i="5" l="1"/>
  <c r="K167" i="5"/>
  <c r="K168" i="5" l="1"/>
  <c r="J169" i="5"/>
  <c r="K169" i="5" l="1"/>
  <c r="J170" i="5" s="1"/>
  <c r="J174" i="5" s="1"/>
  <c r="K174" i="5" l="1"/>
  <c r="J175" i="5"/>
  <c r="K175" i="5" l="1"/>
  <c r="J176" i="5"/>
  <c r="J177" i="5" l="1"/>
  <c r="K176" i="5"/>
  <c r="K177" i="5" l="1"/>
  <c r="J178" i="5"/>
  <c r="J179" i="5" l="1"/>
  <c r="K178" i="5"/>
  <c r="J180" i="5" l="1"/>
  <c r="K179" i="5"/>
  <c r="J181" i="5" l="1"/>
  <c r="K180" i="5"/>
  <c r="K181" i="5" l="1"/>
  <c r="J182" i="5"/>
  <c r="K182" i="5" l="1"/>
  <c r="J183" i="5"/>
  <c r="K183" i="5" l="1"/>
  <c r="J184" i="5"/>
  <c r="J185" i="5" l="1"/>
  <c r="K184" i="5"/>
  <c r="K185" i="5" l="1"/>
  <c r="J186" i="5" s="1"/>
  <c r="J190" i="5" s="1"/>
  <c r="K190" i="5" l="1"/>
  <c r="J191" i="5"/>
  <c r="K191" i="5" l="1"/>
  <c r="J192" i="5"/>
  <c r="K192" i="5" l="1"/>
  <c r="J193" i="5"/>
  <c r="K193" i="5" l="1"/>
  <c r="J194" i="5"/>
  <c r="K194" i="5" l="1"/>
  <c r="J195" i="5"/>
  <c r="K195" i="5" l="1"/>
  <c r="J196" i="5"/>
  <c r="K196" i="5" l="1"/>
  <c r="J197" i="5"/>
  <c r="K197" i="5" l="1"/>
  <c r="J198" i="5"/>
  <c r="K198" i="5" l="1"/>
  <c r="J199" i="5"/>
  <c r="K199" i="5" l="1"/>
  <c r="J200" i="5"/>
  <c r="K200" i="5" l="1"/>
  <c r="J201" i="5"/>
  <c r="K201" i="5" l="1"/>
  <c r="J202" i="5" s="1"/>
  <c r="J206" i="5" s="1"/>
  <c r="K206" i="5" l="1"/>
  <c r="J207" i="5"/>
  <c r="K207" i="5" l="1"/>
  <c r="J208" i="5"/>
  <c r="K208" i="5" l="1"/>
  <c r="J209" i="5"/>
  <c r="J210" i="5" l="1"/>
  <c r="K209" i="5"/>
  <c r="J211" i="5" l="1"/>
  <c r="K210" i="5"/>
  <c r="J212" i="5" l="1"/>
  <c r="K211" i="5"/>
  <c r="J213" i="5" l="1"/>
  <c r="K212" i="5"/>
  <c r="J214" i="5" l="1"/>
  <c r="K213" i="5"/>
  <c r="K214" i="5" l="1"/>
  <c r="J215" i="5"/>
  <c r="K215" i="5" l="1"/>
  <c r="J216" i="5"/>
  <c r="J217" i="5" l="1"/>
  <c r="K216" i="5"/>
  <c r="K217" i="5" l="1"/>
  <c r="J218" i="5" s="1"/>
  <c r="J222" i="5" s="1"/>
  <c r="K222" i="5" l="1"/>
  <c r="J223" i="5"/>
  <c r="K223" i="5" l="1"/>
  <c r="J224" i="5"/>
  <c r="K224" i="5" l="1"/>
  <c r="J225" i="5"/>
  <c r="J226" i="5" l="1"/>
  <c r="K225" i="5"/>
  <c r="J227" i="5" l="1"/>
  <c r="K226" i="5"/>
  <c r="J228" i="5" l="1"/>
  <c r="K227" i="5"/>
  <c r="K228" i="5" l="1"/>
  <c r="J229" i="5"/>
  <c r="K229" i="5" l="1"/>
  <c r="J230" i="5"/>
  <c r="K230" i="5" l="1"/>
  <c r="J231" i="5"/>
  <c r="J232" i="5" l="1"/>
  <c r="K231" i="5"/>
  <c r="J233" i="5" l="1"/>
  <c r="K232" i="5"/>
  <c r="K233" i="5" l="1"/>
  <c r="J234" i="5" s="1"/>
  <c r="J238" i="5" s="1"/>
  <c r="K238" i="5" l="1"/>
  <c r="J239" i="5"/>
  <c r="J240" i="5" l="1"/>
  <c r="K239" i="5"/>
  <c r="J241" i="5" l="1"/>
  <c r="K240" i="5"/>
  <c r="K241" i="5" l="1"/>
  <c r="J242" i="5"/>
  <c r="J243" i="5" l="1"/>
  <c r="K242" i="5"/>
  <c r="K243" i="5" l="1"/>
  <c r="J244" i="5"/>
  <c r="J245" i="5" l="1"/>
  <c r="K244" i="5"/>
  <c r="K245" i="5" l="1"/>
  <c r="J246" i="5"/>
  <c r="K246" i="5" l="1"/>
  <c r="J247" i="5"/>
  <c r="J248" i="5" l="1"/>
  <c r="K247" i="5"/>
  <c r="K248" i="5" l="1"/>
  <c r="J249" i="5"/>
  <c r="K249" i="5" l="1"/>
  <c r="J250" i="5" s="1"/>
  <c r="N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Karthikeyan Chellappa</author>
  </authors>
  <commentList>
    <comment ref="K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Karthikeyan Chellappa:</t>
        </r>
        <r>
          <rPr>
            <sz val="9"/>
            <color indexed="81"/>
            <rFont val="Tahoma"/>
            <family val="2"/>
          </rPr>
          <t xml:space="preserve">
Assuming that interest rate is fixed for the entire tenure</t>
        </r>
      </text>
    </comment>
  </commentList>
</comments>
</file>

<file path=xl/sharedStrings.xml><?xml version="1.0" encoding="utf-8"?>
<sst xmlns="http://schemas.openxmlformats.org/spreadsheetml/2006/main" count="1179" uniqueCount="85">
  <si>
    <t>Balance</t>
  </si>
  <si>
    <t>Month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</si>
  <si>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</si>
  <si>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</si>
  <si>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</si>
  <si>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</si>
  <si>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</si>
  <si>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</si>
  <si>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</si>
  <si>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</si>
  <si>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</si>
  <si>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</si>
  <si>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</si>
  <si>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</si>
  <si>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Deposit</t>
  </si>
  <si>
    <t>Interest</t>
  </si>
  <si>
    <t>Year 1</t>
  </si>
  <si>
    <t>Year 2</t>
  </si>
  <si>
    <t>Year 3</t>
  </si>
  <si>
    <t>Year 4</t>
  </si>
  <si>
    <t>Year 5</t>
  </si>
  <si>
    <t>Year End Balance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</si>
  <si>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</si>
  <si>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</si>
  <si>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</si>
  <si>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</si>
  <si>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</si>
  <si>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</si>
  <si>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</si>
  <si>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</si>
  <si>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</si>
  <si>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</si>
  <si>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Input Parameters</t>
  </si>
  <si>
    <t>Investment Frequency</t>
  </si>
  <si>
    <t>Investment Amount</t>
  </si>
  <si>
    <t>Calculations</t>
  </si>
  <si>
    <t>Output Values</t>
  </si>
  <si>
    <t>Maturity Amount</t>
  </si>
  <si>
    <t>PPF Interest Rate</t>
  </si>
  <si>
    <t>Monthly</t>
  </si>
  <si>
    <t>PPF investment limit</t>
  </si>
  <si>
    <t>PPF Tracker</t>
  </si>
  <si>
    <t>Balance on March 31st of current year</t>
  </si>
  <si>
    <t>Set as zero for new accounts</t>
  </si>
  <si>
    <t>Year 1*</t>
  </si>
  <si>
    <t>* For existing account, "Year 1"</t>
  </si>
  <si>
    <t>simply refers to first year of tracking</t>
  </si>
  <si>
    <t>PPF Calculator</t>
  </si>
  <si>
    <t>Prepared by: Karthikeyan Chellappa</t>
  </si>
  <si>
    <t>Enter data only in green cells</t>
  </si>
  <si>
    <t>Annual</t>
  </si>
  <si>
    <t>Goal Calculator</t>
  </si>
  <si>
    <t>Determine the fixed investment need to obtain a certina maturity value</t>
  </si>
  <si>
    <t xml:space="preserve">Step 1 </t>
  </si>
  <si>
    <t>Enter maturity value required</t>
  </si>
  <si>
    <t>Step 2</t>
  </si>
  <si>
    <t>Step 3</t>
  </si>
  <si>
    <t>Go to PPF Calculator sheet. Select investment frequency and the interest rate</t>
  </si>
  <si>
    <t>Fixed investment amount for the selected is</t>
  </si>
  <si>
    <t>Quarterly</t>
  </si>
  <si>
    <t>Half-yearly</t>
  </si>
  <si>
    <t>Enter current investment limit</t>
  </si>
  <si>
    <t>Note: The tracker assumes that the same interest rate is applicable throughout the financial year</t>
  </si>
  <si>
    <t xml:space="preserve">In F.Y.2011-12,2 interest rates were applicable-8% till November 2011 and 8.6% after that.
</t>
  </si>
  <si>
    <t>You will need to make suitable modifications in the interest column cells to reflect this</t>
  </si>
  <si>
    <t>Send  me an email if you need help with this</t>
  </si>
  <si>
    <t>Source:</t>
  </si>
  <si>
    <t>http://finotax.com/ppf/calculator</t>
  </si>
  <si>
    <t>Deposited</t>
  </si>
  <si>
    <t>before 5th</t>
  </si>
  <si>
    <t>after 5th</t>
  </si>
  <si>
    <t>Use this sheet to track your PPF if you have extended it at the end of the 15 year period</t>
  </si>
  <si>
    <t>Withdrawal</t>
  </si>
  <si>
    <t>Withdrawal can be made only once in a year</t>
  </si>
  <si>
    <t>Balance at the start of 5Y extension block</t>
  </si>
  <si>
    <t>1st Extension Year 1</t>
  </si>
  <si>
    <t>1st Extension Year 2</t>
  </si>
  <si>
    <t>1st Extension Year 3</t>
  </si>
  <si>
    <t>1st Extension Year 4</t>
  </si>
  <si>
    <t>1st Extension Year 5</t>
  </si>
  <si>
    <t>2nd Extension Year 1</t>
  </si>
  <si>
    <t>2nd Extension Year 2</t>
  </si>
  <si>
    <t>2nd Extension Year 3</t>
  </si>
  <si>
    <t>2nd Extension Year 4</t>
  </si>
  <si>
    <t>2nd Extension Year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</si>
</sst>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[$₹-4009]\ #,##0"/>
    <numFmt numFmtId="166" formatCode="_ * #,##0_ ;_ * \-#,##0_ ;_ * &quot;-&quot;??_ ;_ @_ "/>
  </numFmts>
  <fonts count="16" x14ac:knownFonts="1"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indexed="9"/>
      <name val="Calibri"/>
      <family val="2"/>
    </font>
    <font>
      <b/>
      <sz val="16"/>
      <color indexed="9"/>
      <name val="Calibri"/>
      <family val="2"/>
    </font>
    <font>
      <b/>
      <sz val="12"/>
      <color indexed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Calibri"/>
      <family val="2"/>
    </font>
    <font>
      <sz val="12"/>
      <color indexed="8"/>
      <name val="Calibri"/>
      <family val="2"/>
    </font>
    <font>
      <b/>
      <sz val="16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21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1" xfId="0" applyBorder="1"/>
    <xf numFmtId="3" fontId="0" fillId="0" borderId="2" xfId="0" applyNumberFormat="1" applyBorder="1"/>
    <xf numFmtId="3" fontId="0" fillId="0" borderId="3" xfId="0" applyNumberFormat="1" applyBorder="1"/>
    <xf numFmtId="0" fontId="1" fillId="0" borderId="4" xfId="0" applyFont="1" applyBorder="1"/>
    <xf numFmtId="0" fontId="1" fillId="0" borderId="5" xfId="0" applyFont="1" applyBorder="1"/>
    <xf numFmtId="3" fontId="1" fillId="0" borderId="5" xfId="0" applyNumberFormat="1" applyFont="1" applyBorder="1"/>
    <xf numFmtId="3" fontId="0" fillId="0" borderId="6" xfId="0" applyNumberFormat="1" applyBorder="1"/>
    <xf numFmtId="0" fontId="0" fillId="0" borderId="4" xfId="0" applyBorder="1"/>
    <xf numFmtId="10" fontId="0" fillId="0" borderId="7" xfId="0" applyNumberFormat="1" applyBorder="1"/>
    <xf numFmtId="0" fontId="0" fillId="0" borderId="8" xfId="0" applyBorder="1"/>
    <xf numFmtId="0" fontId="0" fillId="2" borderId="9" xfId="0" applyFill="1" applyBorder="1" applyAlignment="1" applyProtection="1">
      <alignment horizontal="right"/>
      <protection locked="0"/>
    </xf>
    <xf numFmtId="165" fontId="1" fillId="3" borderId="7" xfId="0" applyNumberFormat="1" applyFont="1" applyFill="1" applyBorder="1"/>
    <xf numFmtId="0" fontId="3" fillId="0" borderId="1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1" fillId="0" borderId="15" xfId="0" applyFont="1" applyBorder="1"/>
    <xf numFmtId="165" fontId="0" fillId="2" borderId="6" xfId="0" applyNumberFormat="1" applyFill="1" applyBorder="1" applyProtection="1">
      <protection locked="0"/>
    </xf>
    <xf numFmtId="0" fontId="0" fillId="0" borderId="16" xfId="0" applyBorder="1"/>
    <xf numFmtId="3" fontId="0" fillId="0" borderId="17" xfId="0" applyNumberFormat="1" applyBorder="1"/>
    <xf numFmtId="0" fontId="1" fillId="0" borderId="18" xfId="0" applyFont="1" applyBorder="1"/>
    <xf numFmtId="0" fontId="1" fillId="0" borderId="19" xfId="0" applyFont="1" applyBorder="1"/>
    <xf numFmtId="3" fontId="0" fillId="5" borderId="20" xfId="0" applyNumberFormat="1" applyFill="1" applyBorder="1"/>
    <xf numFmtId="0" fontId="0" fillId="5" borderId="20" xfId="0" applyFill="1" applyBorder="1"/>
    <xf numFmtId="10" fontId="0" fillId="5" borderId="20" xfId="0" applyNumberFormat="1" applyFill="1" applyBorder="1"/>
    <xf numFmtId="0" fontId="2" fillId="6" borderId="21" xfId="0" applyFont="1" applyFill="1" applyBorder="1" applyAlignment="1">
      <alignment horizontal="center"/>
    </xf>
    <xf numFmtId="0" fontId="0" fillId="0" borderId="22" xfId="0" applyBorder="1" applyAlignment="1"/>
    <xf numFmtId="0" fontId="0" fillId="0" borderId="23" xfId="0" applyBorder="1" applyAlignment="1"/>
    <xf numFmtId="0" fontId="0" fillId="0" borderId="24" xfId="0" applyBorder="1" applyAlignment="1"/>
    <xf numFmtId="2" fontId="0" fillId="5" borderId="25" xfId="0" applyNumberFormat="1" applyFill="1" applyBorder="1"/>
    <xf numFmtId="0" fontId="0" fillId="4" borderId="20" xfId="0" applyFill="1" applyBorder="1"/>
    <xf numFmtId="0" fontId="4" fillId="4" borderId="0" xfId="0" applyFont="1" applyFill="1" applyBorder="1"/>
    <xf numFmtId="0" fontId="4" fillId="7" borderId="0" xfId="0" applyFont="1" applyFill="1" applyBorder="1"/>
    <xf numFmtId="0" fontId="0" fillId="7" borderId="0" xfId="0" applyFill="1" applyBorder="1"/>
    <xf numFmtId="0" fontId="0" fillId="7" borderId="11" xfId="0" applyFill="1" applyBorder="1"/>
    <xf numFmtId="0" fontId="4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0" fontId="1" fillId="6" borderId="0" xfId="0" applyFont="1" applyFill="1" applyBorder="1"/>
    <xf numFmtId="165" fontId="1" fillId="6" borderId="0" xfId="0" applyNumberFormat="1" applyFont="1" applyFill="1" applyBorder="1"/>
    <xf numFmtId="0" fontId="0" fillId="4" borderId="0" xfId="0" applyFill="1" applyBorder="1"/>
    <xf numFmtId="0" fontId="0" fillId="4" borderId="11" xfId="0" applyFill="1" applyBorder="1"/>
    <xf numFmtId="0" fontId="3" fillId="6" borderId="0" xfId="0" applyFont="1" applyFill="1" applyBorder="1" applyAlignment="1">
      <alignment horizontal="center" vertical="center"/>
    </xf>
    <xf numFmtId="0" fontId="0" fillId="6" borderId="0" xfId="0" applyFill="1" applyBorder="1"/>
    <xf numFmtId="165" fontId="0" fillId="6" borderId="0" xfId="0" applyNumberFormat="1" applyFill="1" applyBorder="1" applyProtection="1">
      <protection locked="0"/>
    </xf>
    <xf numFmtId="0" fontId="0" fillId="5" borderId="0" xfId="0" applyFill="1" applyBorder="1"/>
    <xf numFmtId="0" fontId="9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/>
    </xf>
    <xf numFmtId="0" fontId="12" fillId="0" borderId="0" xfId="0" applyFont="1" applyBorder="1"/>
    <xf numFmtId="0" fontId="8" fillId="0" borderId="0" xfId="0" applyFont="1" applyFill="1" applyBorder="1"/>
    <xf numFmtId="0" fontId="0" fillId="10" borderId="0" xfId="0" applyFill="1"/>
    <xf numFmtId="166" fontId="11" fillId="11" borderId="0" xfId="1" applyNumberFormat="1" applyFont="1" applyFill="1"/>
    <xf numFmtId="166" fontId="11" fillId="12" borderId="0" xfId="1" applyNumberFormat="1" applyFont="1" applyFill="1"/>
    <xf numFmtId="0" fontId="13" fillId="13" borderId="0" xfId="0" applyFont="1" applyFill="1"/>
    <xf numFmtId="0" fontId="0" fillId="13" borderId="0" xfId="0" applyFill="1"/>
    <xf numFmtId="0" fontId="2" fillId="6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3" fillId="10" borderId="0" xfId="0" applyFont="1" applyFill="1" applyBorder="1" applyAlignment="1">
      <alignment horizontal="center" vertical="center"/>
    </xf>
    <xf numFmtId="0" fontId="0" fillId="10" borderId="0" xfId="0" applyFill="1" applyBorder="1"/>
    <xf numFmtId="0" fontId="14" fillId="10" borderId="0" xfId="0" applyFont="1" applyFill="1" applyBorder="1"/>
    <xf numFmtId="0" fontId="1" fillId="0" borderId="26" xfId="0" applyFont="1" applyBorder="1"/>
    <xf numFmtId="0" fontId="14" fillId="11" borderId="20" xfId="0" applyFont="1" applyFill="1" applyBorder="1"/>
    <xf numFmtId="0" fontId="1" fillId="0" borderId="0" xfId="0" applyFont="1" applyBorder="1"/>
    <xf numFmtId="3" fontId="0" fillId="0" borderId="0" xfId="0" applyNumberFormat="1" applyBorder="1"/>
    <xf numFmtId="10" fontId="0" fillId="5" borderId="0" xfId="0" applyNumberFormat="1" applyFill="1" applyBorder="1"/>
    <xf numFmtId="0" fontId="1" fillId="0" borderId="0" xfId="0" applyFont="1" applyBorder="1" applyAlignment="1">
      <alignment horizontal="center"/>
    </xf>
    <xf numFmtId="0" fontId="0" fillId="13" borderId="0" xfId="0" applyFill="1" applyBorder="1"/>
    <xf numFmtId="0" fontId="0" fillId="10" borderId="10" xfId="0" applyFill="1" applyBorder="1"/>
    <xf numFmtId="0" fontId="0" fillId="10" borderId="12" xfId="0" applyFill="1" applyBorder="1"/>
    <xf numFmtId="0" fontId="0" fillId="10" borderId="13" xfId="0" applyFill="1" applyBorder="1"/>
    <xf numFmtId="0" fontId="0" fillId="10" borderId="14" xfId="0" applyFill="1" applyBorder="1"/>
    <xf numFmtId="2" fontId="0" fillId="5" borderId="0" xfId="0" applyNumberFormat="1" applyFill="1" applyBorder="1"/>
    <xf numFmtId="3" fontId="0" fillId="0" borderId="27" xfId="0" applyNumberFormat="1" applyBorder="1"/>
    <xf numFmtId="3" fontId="0" fillId="0" borderId="28" xfId="0" applyNumberFormat="1" applyBorder="1"/>
    <xf numFmtId="0" fontId="15" fillId="13" borderId="0" xfId="0" applyFont="1" applyFill="1" applyBorder="1"/>
    <xf numFmtId="0" fontId="0" fillId="13" borderId="11" xfId="0" applyFill="1" applyBorder="1"/>
    <xf numFmtId="0" fontId="1" fillId="0" borderId="29" xfId="0" applyFont="1" applyBorder="1"/>
    <xf numFmtId="0" fontId="0" fillId="11" borderId="20" xfId="0" applyFill="1" applyBorder="1"/>
    <xf numFmtId="10" fontId="0" fillId="5" borderId="30" xfId="0" applyNumberFormat="1" applyFill="1" applyBorder="1"/>
    <xf numFmtId="0" fontId="0" fillId="5" borderId="30" xfId="0" applyFill="1" applyBorder="1"/>
    <xf numFmtId="0" fontId="8" fillId="0" borderId="0" xfId="0" applyFont="1" applyBorder="1" applyAlignment="1"/>
    <xf numFmtId="0" fontId="0" fillId="10" borderId="0" xfId="0" applyFill="1" applyBorder="1" applyAlignment="1"/>
    <xf numFmtId="0" fontId="2" fillId="10" borderId="0" xfId="0" applyFont="1" applyFill="1" applyBorder="1" applyAlignment="1">
      <alignment horizontal="center"/>
    </xf>
    <xf numFmtId="2" fontId="0" fillId="10" borderId="0" xfId="0" applyNumberFormat="1" applyFill="1" applyBorder="1"/>
    <xf numFmtId="0" fontId="1" fillId="10" borderId="0" xfId="0" applyFont="1" applyFill="1" applyBorder="1"/>
    <xf numFmtId="3" fontId="1" fillId="10" borderId="0" xfId="0" applyNumberFormat="1" applyFont="1" applyFill="1" applyBorder="1"/>
    <xf numFmtId="3" fontId="0" fillId="10" borderId="0" xfId="0" applyNumberFormat="1" applyFill="1" applyBorder="1"/>
    <xf numFmtId="3" fontId="1" fillId="11" borderId="31" xfId="0" applyNumberFormat="1" applyFont="1" applyFill="1" applyBorder="1"/>
    <xf numFmtId="0" fontId="0" fillId="14" borderId="10" xfId="0" applyFill="1" applyBorder="1"/>
    <xf numFmtId="0" fontId="0" fillId="14" borderId="0" xfId="0" applyFill="1" applyBorder="1"/>
    <xf numFmtId="0" fontId="0" fillId="14" borderId="11" xfId="0" applyFill="1" applyBorder="1"/>
    <xf numFmtId="0" fontId="3" fillId="8" borderId="32" xfId="0" applyFont="1" applyFill="1" applyBorder="1" applyAlignment="1">
      <alignment horizontal="center" vertical="center"/>
    </xf>
    <xf numFmtId="0" fontId="3" fillId="8" borderId="33" xfId="0" applyFont="1" applyFill="1" applyBorder="1" applyAlignment="1">
      <alignment horizontal="center" vertical="center"/>
    </xf>
    <xf numFmtId="0" fontId="3" fillId="8" borderId="34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/>
    </xf>
    <xf numFmtId="0" fontId="2" fillId="9" borderId="35" xfId="0" applyFont="1" applyFill="1" applyBorder="1" applyAlignment="1">
      <alignment horizontal="center"/>
    </xf>
    <xf numFmtId="0" fontId="2" fillId="9" borderId="21" xfId="0" applyFont="1" applyFill="1" applyBorder="1" applyAlignment="1">
      <alignment horizontal="center"/>
    </xf>
    <xf numFmtId="0" fontId="2" fillId="9" borderId="36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4" fillId="0" borderId="0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2" fillId="10" borderId="0" xfId="0" applyFont="1" applyFill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0" borderId="42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3</xdr:row>
      <xdr:rowOff>200025</xdr:rowOff>
    </xdr:from>
    <xdr:ext cx="2181225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89529" y="838760"/>
          <a:ext cx="2181225" cy="43678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100"/>
            <a:t>Choose your investment frequency and the investment amount</a:t>
          </a:r>
        </a:p>
      </xdr:txBody>
    </xdr:sp>
    <xdr:clientData/>
  </xdr:oneCellAnchor>
  <xdr:oneCellAnchor>
    <xdr:from>
      <xdr:col>12</xdr:col>
      <xdr:colOff>0</xdr:colOff>
      <xdr:row>4</xdr:row>
      <xdr:rowOff>0</xdr:rowOff>
    </xdr:from>
    <xdr:ext cx="2190750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012206" y="851647"/>
          <a:ext cx="2190750" cy="43678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IN" sz="1100"/>
            <a:t>The maturity amount</a:t>
          </a:r>
          <a:r>
            <a:rPr lang="en-IN" sz="1100" baseline="0"/>
            <a:t> is what you will get after 15 years</a:t>
          </a:r>
          <a:endParaRPr lang="en-IN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91440</xdr:colOff>
      <xdr:row>6</xdr:row>
      <xdr:rowOff>182880</xdr:rowOff>
    </xdr:from>
    <xdr:to>
      <xdr:col>2</xdr:col>
      <xdr:colOff>621121</xdr:colOff>
      <xdr:row>8</xdr:row>
      <xdr:rowOff>76200</xdr:rowOff>
    </xdr:to>
    <xdr:sp macro="[0]!Macro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0" y="1371600"/>
          <a:ext cx="1181100" cy="28956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N" sz="1100"/>
            <a:t>Click</a:t>
          </a:r>
          <a:r>
            <a:rPr lang="en-IN" sz="1100" baseline="0"/>
            <a:t> on me!</a:t>
          </a:r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8</xdr:col>
      <xdr:colOff>333375</xdr:colOff>
      <xdr:row>11</xdr:row>
      <xdr:rowOff>66675</xdr:rowOff>
    </xdr:to>
    <xdr:pic>
      <xdr:nvPicPr>
        <xdr:cNvPr id="4097" name="Picture 1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 l="15446" t="31120" r="29868" b="31509"/>
        <a:stretch>
          <a:fillRect/>
        </a:stretch>
      </xdr:blipFill>
      <xdr:spPr bwMode="auto">
        <a:xfrm>
          <a:off x="0" y="57150"/>
          <a:ext cx="5819775" cy="22098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Y252"/>
  <sheetViews>
    <sheetView showGridLines="0" zoomScale="85" zoomScaleNormal="85" workbookViewId="0">
      <selection activeCell="E13" sqref="E13:F15"/>
    </sheetView>
  </sheetViews>
  <sheetFormatPr defaultRowHeight="15.75" x14ac:dyDescent="0.25"/>
  <cols>
    <col min="1" max="4" width="4.625" style="25" customWidth="1"/>
    <col min="5" max="5" width="18.875" style="25" bestFit="1" customWidth="1"/>
    <col min="6" max="6" width="10.375" style="25" bestFit="1" customWidth="1"/>
    <col min="7" max="8" width="9" style="25"/>
    <col min="9" max="9" width="9.375" style="25" bestFit="1" customWidth="1"/>
    <col min="10" max="10" width="11.875" style="25" bestFit="1" customWidth="1"/>
    <col min="11" max="11" width="9.375" style="25" bestFit="1" customWidth="1"/>
    <col min="12" max="12" width="9" style="25"/>
    <col min="13" max="13" width="16.125" style="25" bestFit="1" customWidth="1"/>
    <col min="14" max="14" width="13.875" style="25" customWidth="1"/>
    <col min="15" max="19" width="4.625" style="25" customWidth="1"/>
    <col min="20" max="16384" width="9" style="25"/>
  </cols>
  <sheetData>
    <row r="1" spans="4:25" ht="16.5" customHeight="1" thickBot="1" x14ac:dyDescent="0.3">
      <c r="Y1" s="25">
        <v>4000000</v>
      </c>
    </row>
    <row r="2" spans="4:25" ht="16.5" customHeight="1" x14ac:dyDescent="0.25">
      <c r="D2" s="101" t="s">
        <v>47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</row>
    <row r="3" spans="4:25" ht="16.5" customHeight="1" thickBot="1" x14ac:dyDescent="0.3">
      <c r="D3" s="104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</row>
    <row r="4" spans="4:25" ht="16.5" customHeight="1" x14ac:dyDescent="0.25">
      <c r="D4" s="16"/>
      <c r="E4" s="17"/>
      <c r="F4" s="17"/>
      <c r="G4" s="17"/>
      <c r="H4" s="56" t="s">
        <v>48</v>
      </c>
      <c r="I4" s="55"/>
      <c r="J4" s="55"/>
      <c r="K4" s="55"/>
      <c r="L4" s="17"/>
      <c r="M4" s="17"/>
      <c r="N4" s="17"/>
      <c r="O4" s="18"/>
    </row>
    <row r="5" spans="4:25" ht="16.5" customHeight="1" x14ac:dyDescent="0.25">
      <c r="D5" s="16"/>
      <c r="E5" s="17"/>
      <c r="F5" s="17"/>
      <c r="G5" s="17"/>
      <c r="H5" s="17"/>
      <c r="I5" s="17"/>
      <c r="J5" s="17"/>
      <c r="K5" s="17"/>
      <c r="L5" s="17"/>
      <c r="M5" s="17"/>
      <c r="N5" s="17"/>
      <c r="O5" s="18"/>
    </row>
    <row r="6" spans="4:25" ht="16.5" customHeight="1" x14ac:dyDescent="0.25">
      <c r="D6" s="16"/>
      <c r="E6" s="17"/>
      <c r="F6" s="17"/>
      <c r="G6" s="17"/>
      <c r="H6" s="17"/>
      <c r="I6" s="17"/>
      <c r="J6" s="17"/>
      <c r="K6" s="17"/>
      <c r="L6" s="17"/>
      <c r="M6" s="17"/>
      <c r="N6" s="17"/>
      <c r="O6" s="18"/>
    </row>
    <row r="7" spans="4:25" ht="16.5" customHeight="1" thickBot="1" x14ac:dyDescent="0.3">
      <c r="D7" s="16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</row>
    <row r="8" spans="4:25" ht="16.5" thickBot="1" x14ac:dyDescent="0.3">
      <c r="D8" s="19"/>
      <c r="E8" s="107" t="s">
        <v>32</v>
      </c>
      <c r="F8" s="108"/>
      <c r="G8" s="20"/>
      <c r="H8" s="107" t="s">
        <v>35</v>
      </c>
      <c r="I8" s="109"/>
      <c r="J8" s="109"/>
      <c r="K8" s="108"/>
      <c r="L8" s="20"/>
      <c r="M8" s="107" t="s">
        <v>36</v>
      </c>
      <c r="N8" s="108"/>
      <c r="O8" s="21"/>
    </row>
    <row r="9" spans="4:25" x14ac:dyDescent="0.25">
      <c r="D9" s="19"/>
      <c r="E9" s="13" t="s">
        <v>33</v>
      </c>
      <c r="F9" s="14" t="s">
        <v>39</v>
      </c>
      <c r="G9" s="20"/>
      <c r="H9" s="110" t="s">
        <v>38</v>
      </c>
      <c r="I9" s="111"/>
      <c r="J9" s="112"/>
      <c r="K9" s="12">
        <v>8.6999999999999994E-2</v>
      </c>
      <c r="L9" s="20"/>
      <c r="M9" s="26" t="s">
        <v>37</v>
      </c>
      <c r="N9" s="15">
        <f>J250</f>
        <v>4000000.0000000112</v>
      </c>
      <c r="O9" s="21"/>
    </row>
    <row r="10" spans="4:25" x14ac:dyDescent="0.25">
      <c r="D10" s="19"/>
      <c r="E10" s="11" t="s">
        <v>34</v>
      </c>
      <c r="F10" s="27">
        <v>11100.295724080675</v>
      </c>
      <c r="G10" s="20"/>
      <c r="H10" s="20"/>
      <c r="I10" s="20"/>
      <c r="J10" s="20"/>
      <c r="K10" s="20"/>
      <c r="L10" s="20"/>
      <c r="M10" s="20"/>
      <c r="N10" s="20"/>
      <c r="O10" s="21"/>
    </row>
    <row r="11" spans="4:25" x14ac:dyDescent="0.25">
      <c r="D11" s="19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</row>
    <row r="12" spans="4:25" x14ac:dyDescent="0.25">
      <c r="D12" s="19"/>
      <c r="E12" s="20"/>
      <c r="F12" s="20"/>
      <c r="G12" s="20"/>
      <c r="H12" s="114" t="s">
        <v>16</v>
      </c>
      <c r="I12" s="115"/>
      <c r="J12" s="115"/>
      <c r="K12" s="116"/>
      <c r="L12" s="20"/>
      <c r="M12" s="60"/>
      <c r="N12" s="20"/>
      <c r="O12" s="21"/>
    </row>
    <row r="13" spans="4:25" x14ac:dyDescent="0.25">
      <c r="D13" s="19"/>
      <c r="E13" s="113" t="str">
        <f>IF(AND(F9="Monthly",F10*12&gt;=150000),"Warning: Annual Investment should not exceed 1.5 lakh",IF(AND(F9="Quarterly",F10*4&gt;150000),"Warning: Annual Investment should not exceed 1.5 lakh",IF(AND(F9="Half-Yearly",F10*2&gt;150000),"Warning: Annual Investment should not exceed 1.5 lakh",IF(AND(F9="Annual",F10&gt;150000),"Warning: Annual Investment should not exceed 1.5 lakh",""))))</f>
        <v/>
      </c>
      <c r="F13" s="113"/>
      <c r="G13" s="20"/>
      <c r="H13" s="1" t="s">
        <v>1</v>
      </c>
      <c r="I13" s="2" t="s">
        <v>14</v>
      </c>
      <c r="J13" s="2" t="s">
        <v>0</v>
      </c>
      <c r="K13" s="3" t="s">
        <v>15</v>
      </c>
      <c r="L13" s="20"/>
      <c r="M13" s="60"/>
      <c r="N13" s="20"/>
      <c r="O13" s="21"/>
    </row>
    <row r="14" spans="4:25" x14ac:dyDescent="0.25">
      <c r="D14" s="19"/>
      <c r="E14" s="113"/>
      <c r="F14" s="113"/>
      <c r="G14" s="20"/>
      <c r="H14" s="4" t="s">
        <v>2</v>
      </c>
      <c r="I14" s="5">
        <f>$F$10</f>
        <v>11100.295724080675</v>
      </c>
      <c r="J14" s="5">
        <f>I14</f>
        <v>11100.295724080675</v>
      </c>
      <c r="K14" s="6">
        <f t="shared" ref="K14:K25" si="0">J14*$K$9/12</f>
        <v>80.477143999584897</v>
      </c>
      <c r="L14" s="20"/>
      <c r="M14" s="60"/>
      <c r="N14" s="20"/>
      <c r="O14" s="21"/>
    </row>
    <row r="15" spans="4:25" x14ac:dyDescent="0.25">
      <c r="D15" s="19"/>
      <c r="E15" s="113"/>
      <c r="F15" s="113"/>
      <c r="G15" s="20"/>
      <c r="H15" s="4" t="s">
        <v>3</v>
      </c>
      <c r="I15" s="5">
        <f>IF($F$9="Monthly",$F$10,0)</f>
        <v>11100.295724080675</v>
      </c>
      <c r="J15" s="5">
        <f>I15+J14</f>
        <v>22200.591448161351</v>
      </c>
      <c r="K15" s="6">
        <f t="shared" si="0"/>
        <v>160.95428799916979</v>
      </c>
      <c r="L15" s="20"/>
      <c r="M15" s="20"/>
      <c r="N15" s="20"/>
      <c r="O15" s="21"/>
    </row>
    <row r="16" spans="4:25" x14ac:dyDescent="0.25">
      <c r="D16" s="19"/>
      <c r="E16" s="20"/>
      <c r="F16" s="20"/>
      <c r="G16" s="20"/>
      <c r="H16" s="4" t="s">
        <v>4</v>
      </c>
      <c r="I16" s="5">
        <f>IF($F$9="Monthly",$F$10,0)</f>
        <v>11100.295724080675</v>
      </c>
      <c r="J16" s="5">
        <f t="shared" ref="J16:J25" si="1">I16+J15</f>
        <v>33300.88717224203</v>
      </c>
      <c r="K16" s="6">
        <f t="shared" si="0"/>
        <v>241.43143199875468</v>
      </c>
      <c r="L16" s="20"/>
      <c r="M16" s="20"/>
      <c r="N16" s="20"/>
      <c r="O16" s="21"/>
    </row>
    <row r="17" spans="4:15" x14ac:dyDescent="0.25">
      <c r="D17" s="19"/>
      <c r="E17" s="20"/>
      <c r="F17" s="20"/>
      <c r="G17" s="20"/>
      <c r="H17" s="4" t="s">
        <v>5</v>
      </c>
      <c r="I17" s="5">
        <f>IF(OR($F$9="Monthly",$F$9="Quarterly"),$F$10,0)</f>
        <v>11100.295724080675</v>
      </c>
      <c r="J17" s="5">
        <f t="shared" si="1"/>
        <v>44401.182896322702</v>
      </c>
      <c r="K17" s="6">
        <f t="shared" si="0"/>
        <v>321.90857599833959</v>
      </c>
      <c r="L17" s="20"/>
      <c r="M17" s="20"/>
      <c r="N17" s="20"/>
      <c r="O17" s="21"/>
    </row>
    <row r="18" spans="4:15" x14ac:dyDescent="0.25">
      <c r="D18" s="19"/>
      <c r="E18" s="20"/>
      <c r="F18" s="20"/>
      <c r="G18" s="20"/>
      <c r="H18" s="4" t="s">
        <v>6</v>
      </c>
      <c r="I18" s="5">
        <f>IF($F$9="Monthly",$F$10,0)</f>
        <v>11100.295724080675</v>
      </c>
      <c r="J18" s="5">
        <f t="shared" si="1"/>
        <v>55501.478620403373</v>
      </c>
      <c r="K18" s="6">
        <f t="shared" si="0"/>
        <v>402.38571999792447</v>
      </c>
      <c r="L18" s="20"/>
      <c r="M18" s="20"/>
      <c r="N18" s="20"/>
      <c r="O18" s="21"/>
    </row>
    <row r="19" spans="4:15" x14ac:dyDescent="0.25">
      <c r="D19" s="19"/>
      <c r="E19" s="20"/>
      <c r="F19" s="20"/>
      <c r="G19" s="20"/>
      <c r="H19" s="4" t="s">
        <v>7</v>
      </c>
      <c r="I19" s="5">
        <f>IF($F$9="Monthly",$F$10,0)</f>
        <v>11100.295724080675</v>
      </c>
      <c r="J19" s="5">
        <f t="shared" si="1"/>
        <v>66601.774344484045</v>
      </c>
      <c r="K19" s="6">
        <f t="shared" si="0"/>
        <v>482.86286399750929</v>
      </c>
      <c r="L19" s="20"/>
      <c r="M19" s="20"/>
      <c r="N19" s="20"/>
      <c r="O19" s="21"/>
    </row>
    <row r="20" spans="4:15" x14ac:dyDescent="0.25">
      <c r="D20" s="19"/>
      <c r="E20" s="20"/>
      <c r="F20" s="20"/>
      <c r="G20" s="20"/>
      <c r="H20" s="4" t="s">
        <v>8</v>
      </c>
      <c r="I20" s="5">
        <f>IF($F$9&lt;&gt;"Annual",$F$10,0)</f>
        <v>11100.295724080675</v>
      </c>
      <c r="J20" s="5">
        <f t="shared" si="1"/>
        <v>77702.070068564717</v>
      </c>
      <c r="K20" s="6">
        <f t="shared" si="0"/>
        <v>563.34000799709418</v>
      </c>
      <c r="L20" s="20"/>
      <c r="M20" s="20"/>
      <c r="N20" s="20"/>
      <c r="O20" s="21"/>
    </row>
    <row r="21" spans="4:15" x14ac:dyDescent="0.25">
      <c r="D21" s="19"/>
      <c r="E21" s="20"/>
      <c r="F21" s="20"/>
      <c r="G21" s="20"/>
      <c r="H21" s="4" t="s">
        <v>9</v>
      </c>
      <c r="I21" s="5">
        <f>IF($F$9="Monthly",$F$10,0)</f>
        <v>11100.295724080675</v>
      </c>
      <c r="J21" s="5">
        <f t="shared" si="1"/>
        <v>88802.365792645389</v>
      </c>
      <c r="K21" s="6">
        <f t="shared" si="0"/>
        <v>643.81715199667906</v>
      </c>
      <c r="L21" s="20"/>
      <c r="M21" s="20"/>
      <c r="N21" s="20"/>
      <c r="O21" s="21"/>
    </row>
    <row r="22" spans="4:15" x14ac:dyDescent="0.25">
      <c r="D22" s="19"/>
      <c r="E22" s="20"/>
      <c r="F22" s="20"/>
      <c r="G22" s="20"/>
      <c r="H22" s="4" t="s">
        <v>10</v>
      </c>
      <c r="I22" s="5">
        <f>IF($F$9="Monthly",$F$10,0)</f>
        <v>11100.295724080675</v>
      </c>
      <c r="J22" s="5">
        <f t="shared" si="1"/>
        <v>99902.661516726061</v>
      </c>
      <c r="K22" s="6">
        <f t="shared" si="0"/>
        <v>724.29429599626383</v>
      </c>
      <c r="L22" s="20"/>
      <c r="M22" s="20"/>
      <c r="N22" s="20"/>
      <c r="O22" s="21"/>
    </row>
    <row r="23" spans="4:15" x14ac:dyDescent="0.25">
      <c r="D23" s="19"/>
      <c r="E23" s="20"/>
      <c r="F23" s="20"/>
      <c r="G23" s="20"/>
      <c r="H23" s="4" t="s">
        <v>11</v>
      </c>
      <c r="I23" s="5">
        <f>IF(OR($F$9="Monthly",$F$9="Quarterly"),$F$10,0)</f>
        <v>11100.295724080675</v>
      </c>
      <c r="J23" s="5">
        <f t="shared" si="1"/>
        <v>111002.95724080673</v>
      </c>
      <c r="K23" s="6">
        <f t="shared" si="0"/>
        <v>804.77143999584871</v>
      </c>
      <c r="L23" s="20"/>
      <c r="M23" s="20"/>
      <c r="N23" s="20"/>
      <c r="O23" s="21"/>
    </row>
    <row r="24" spans="4:15" x14ac:dyDescent="0.25">
      <c r="D24" s="19"/>
      <c r="E24" s="20"/>
      <c r="F24" s="20"/>
      <c r="G24" s="20"/>
      <c r="H24" s="4" t="s">
        <v>12</v>
      </c>
      <c r="I24" s="5">
        <f>IF($F$9="Monthly",$F$10,0)</f>
        <v>11100.295724080675</v>
      </c>
      <c r="J24" s="5">
        <f t="shared" si="1"/>
        <v>122103.2529648874</v>
      </c>
      <c r="K24" s="6">
        <f t="shared" si="0"/>
        <v>885.24858399543371</v>
      </c>
      <c r="L24" s="20"/>
      <c r="M24" s="20"/>
      <c r="N24" s="20"/>
      <c r="O24" s="21"/>
    </row>
    <row r="25" spans="4:15" x14ac:dyDescent="0.25">
      <c r="D25" s="19"/>
      <c r="E25" s="20"/>
      <c r="F25" s="20"/>
      <c r="G25" s="20"/>
      <c r="H25" s="4" t="s">
        <v>13</v>
      </c>
      <c r="I25" s="5">
        <f>IF($F$9="Monthly",$F$10,0)</f>
        <v>11100.295724080675</v>
      </c>
      <c r="J25" s="5">
        <f t="shared" si="1"/>
        <v>133203.54868896809</v>
      </c>
      <c r="K25" s="6">
        <f t="shared" si="0"/>
        <v>965.72572799501859</v>
      </c>
      <c r="L25" s="20"/>
      <c r="M25" s="20"/>
      <c r="N25" s="20"/>
      <c r="O25" s="21"/>
    </row>
    <row r="26" spans="4:15" x14ac:dyDescent="0.25">
      <c r="D26" s="19"/>
      <c r="E26" s="20"/>
      <c r="F26" s="20"/>
      <c r="G26" s="20"/>
      <c r="H26" s="7" t="s">
        <v>21</v>
      </c>
      <c r="I26" s="8"/>
      <c r="J26" s="9">
        <f>J25+SUM(K14:K25)</f>
        <v>139480.76592093572</v>
      </c>
      <c r="K26" s="10"/>
      <c r="L26" s="20"/>
      <c r="M26" s="20"/>
      <c r="N26" s="20"/>
      <c r="O26" s="21"/>
    </row>
    <row r="27" spans="4:15" x14ac:dyDescent="0.25">
      <c r="D27" s="19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1"/>
    </row>
    <row r="28" spans="4:15" x14ac:dyDescent="0.25">
      <c r="D28" s="19"/>
      <c r="E28" s="20"/>
      <c r="F28" s="20"/>
      <c r="G28" s="20"/>
      <c r="H28" s="114" t="s">
        <v>17</v>
      </c>
      <c r="I28" s="115"/>
      <c r="J28" s="115"/>
      <c r="K28" s="116"/>
      <c r="L28" s="20"/>
      <c r="M28" s="20"/>
      <c r="N28" s="20"/>
      <c r="O28" s="21"/>
    </row>
    <row r="29" spans="4:15" x14ac:dyDescent="0.25">
      <c r="D29" s="19"/>
      <c r="E29" s="20"/>
      <c r="F29" s="20"/>
      <c r="G29" s="20"/>
      <c r="H29" s="1" t="s">
        <v>1</v>
      </c>
      <c r="I29" s="2" t="s">
        <v>14</v>
      </c>
      <c r="J29" s="2" t="s">
        <v>0</v>
      </c>
      <c r="K29" s="3" t="s">
        <v>15</v>
      </c>
      <c r="L29" s="20"/>
      <c r="M29" s="20"/>
      <c r="N29" s="20"/>
      <c r="O29" s="21"/>
    </row>
    <row r="30" spans="4:15" x14ac:dyDescent="0.25">
      <c r="D30" s="19"/>
      <c r="E30" s="20"/>
      <c r="F30" s="20"/>
      <c r="G30" s="20"/>
      <c r="H30" s="4" t="s">
        <v>2</v>
      </c>
      <c r="I30" s="5">
        <f>$F$10</f>
        <v>11100.295724080675</v>
      </c>
      <c r="J30" s="5">
        <f>I30+J26</f>
        <v>150581.06164501639</v>
      </c>
      <c r="K30" s="6">
        <f t="shared" ref="K30:K41" si="2">J30*$K$9/12</f>
        <v>1091.7126969263688</v>
      </c>
      <c r="L30" s="20"/>
      <c r="M30" s="20"/>
      <c r="N30" s="20"/>
      <c r="O30" s="21"/>
    </row>
    <row r="31" spans="4:15" x14ac:dyDescent="0.25">
      <c r="D31" s="19"/>
      <c r="E31" s="20"/>
      <c r="F31" s="20"/>
      <c r="G31" s="20"/>
      <c r="H31" s="4" t="s">
        <v>3</v>
      </c>
      <c r="I31" s="5">
        <f>IF($F$9="Monthly",$F$10,0)</f>
        <v>11100.295724080675</v>
      </c>
      <c r="J31" s="5">
        <f>I31+J30</f>
        <v>161681.35736909707</v>
      </c>
      <c r="K31" s="6">
        <f t="shared" si="2"/>
        <v>1172.1898409259536</v>
      </c>
      <c r="L31" s="20"/>
      <c r="M31" s="20"/>
      <c r="N31" s="20"/>
      <c r="O31" s="21"/>
    </row>
    <row r="32" spans="4:15" x14ac:dyDescent="0.25">
      <c r="D32" s="19"/>
      <c r="E32" s="20"/>
      <c r="F32" s="20"/>
      <c r="G32" s="20"/>
      <c r="H32" s="4" t="s">
        <v>4</v>
      </c>
      <c r="I32" s="5">
        <f>IF($F$9="Monthly",$F$10,0)</f>
        <v>11100.295724080675</v>
      </c>
      <c r="J32" s="5">
        <f t="shared" ref="J32:J41" si="3">I32+J31</f>
        <v>172781.65309317774</v>
      </c>
      <c r="K32" s="6">
        <f t="shared" si="2"/>
        <v>1252.6669849255384</v>
      </c>
      <c r="L32" s="20"/>
      <c r="M32" s="20"/>
      <c r="N32" s="20"/>
      <c r="O32" s="21"/>
    </row>
    <row r="33" spans="4:15" x14ac:dyDescent="0.25">
      <c r="D33" s="19"/>
      <c r="E33" s="20"/>
      <c r="F33" s="20"/>
      <c r="G33" s="20"/>
      <c r="H33" s="4" t="s">
        <v>5</v>
      </c>
      <c r="I33" s="5">
        <f>IF(OR($F$9="Monthly",$F$9="Quarterly"),$F$10,0)</f>
        <v>11100.295724080675</v>
      </c>
      <c r="J33" s="5">
        <f t="shared" si="3"/>
        <v>183881.94881725841</v>
      </c>
      <c r="K33" s="6">
        <f t="shared" si="2"/>
        <v>1333.1441289251234</v>
      </c>
      <c r="L33" s="20"/>
      <c r="M33" s="20"/>
      <c r="N33" s="20"/>
      <c r="O33" s="21"/>
    </row>
    <row r="34" spans="4:15" x14ac:dyDescent="0.25">
      <c r="D34" s="19"/>
      <c r="E34" s="20"/>
      <c r="F34" s="20"/>
      <c r="G34" s="20"/>
      <c r="H34" s="4" t="s">
        <v>6</v>
      </c>
      <c r="I34" s="5">
        <f>IF($F$9="Monthly",$F$10,0)</f>
        <v>11100.295724080675</v>
      </c>
      <c r="J34" s="5">
        <f t="shared" si="3"/>
        <v>194982.24454133908</v>
      </c>
      <c r="K34" s="6">
        <f t="shared" si="2"/>
        <v>1413.6212729247081</v>
      </c>
      <c r="L34" s="20"/>
      <c r="M34" s="20"/>
      <c r="N34" s="20"/>
      <c r="O34" s="21"/>
    </row>
    <row r="35" spans="4:15" x14ac:dyDescent="0.25">
      <c r="D35" s="19"/>
      <c r="E35" s="20"/>
      <c r="F35" s="20"/>
      <c r="G35" s="20"/>
      <c r="H35" s="4" t="s">
        <v>7</v>
      </c>
      <c r="I35" s="5">
        <f>IF($F$9="Monthly",$F$10,0)</f>
        <v>11100.295724080675</v>
      </c>
      <c r="J35" s="5">
        <f t="shared" si="3"/>
        <v>206082.54026541975</v>
      </c>
      <c r="K35" s="6">
        <f t="shared" si="2"/>
        <v>1494.0984169242931</v>
      </c>
      <c r="L35" s="20"/>
      <c r="M35" s="20"/>
      <c r="N35" s="20"/>
      <c r="O35" s="21"/>
    </row>
    <row r="36" spans="4:15" x14ac:dyDescent="0.25">
      <c r="D36" s="19"/>
      <c r="E36" s="20"/>
      <c r="F36" s="20"/>
      <c r="G36" s="20"/>
      <c r="H36" s="4" t="s">
        <v>8</v>
      </c>
      <c r="I36" s="5">
        <f>IF($F$9&lt;&gt;"Annual",$F$10,0)</f>
        <v>11100.295724080675</v>
      </c>
      <c r="J36" s="5">
        <f t="shared" si="3"/>
        <v>217182.83598950043</v>
      </c>
      <c r="K36" s="6">
        <f t="shared" si="2"/>
        <v>1574.5755609238779</v>
      </c>
      <c r="L36" s="20"/>
      <c r="M36" s="20"/>
      <c r="N36" s="20"/>
      <c r="O36" s="21"/>
    </row>
    <row r="37" spans="4:15" x14ac:dyDescent="0.25">
      <c r="D37" s="19"/>
      <c r="E37" s="20"/>
      <c r="F37" s="20"/>
      <c r="G37" s="20"/>
      <c r="H37" s="4" t="s">
        <v>9</v>
      </c>
      <c r="I37" s="5">
        <f>IF($F$9="Monthly",$F$10,0)</f>
        <v>11100.295724080675</v>
      </c>
      <c r="J37" s="5">
        <f t="shared" si="3"/>
        <v>228283.1317135811</v>
      </c>
      <c r="K37" s="6">
        <f t="shared" si="2"/>
        <v>1655.0527049234627</v>
      </c>
      <c r="L37" s="20"/>
      <c r="M37" s="20"/>
      <c r="N37" s="20"/>
      <c r="O37" s="21"/>
    </row>
    <row r="38" spans="4:15" x14ac:dyDescent="0.25">
      <c r="D38" s="19"/>
      <c r="E38" s="20"/>
      <c r="F38" s="20"/>
      <c r="G38" s="20"/>
      <c r="H38" s="4" t="s">
        <v>10</v>
      </c>
      <c r="I38" s="5">
        <f>IF($F$9="Monthly",$F$10,0)</f>
        <v>11100.295724080675</v>
      </c>
      <c r="J38" s="5">
        <f t="shared" si="3"/>
        <v>239383.42743766177</v>
      </c>
      <c r="K38" s="6">
        <f t="shared" si="2"/>
        <v>1735.5298489230479</v>
      </c>
      <c r="L38" s="20"/>
      <c r="M38" s="20"/>
      <c r="N38" s="20"/>
      <c r="O38" s="21"/>
    </row>
    <row r="39" spans="4:15" x14ac:dyDescent="0.25">
      <c r="D39" s="19"/>
      <c r="E39" s="20"/>
      <c r="F39" s="20"/>
      <c r="G39" s="20"/>
      <c r="H39" s="4" t="s">
        <v>11</v>
      </c>
      <c r="I39" s="5">
        <f>IF(OR($F$9="Monthly",$F$9="Quarterly"),$F$10,0)</f>
        <v>11100.295724080675</v>
      </c>
      <c r="J39" s="5">
        <f t="shared" si="3"/>
        <v>250483.72316174244</v>
      </c>
      <c r="K39" s="6">
        <f t="shared" si="2"/>
        <v>1816.0069929226327</v>
      </c>
      <c r="L39" s="20"/>
      <c r="M39" s="20"/>
      <c r="N39" s="20"/>
      <c r="O39" s="21"/>
    </row>
    <row r="40" spans="4:15" x14ac:dyDescent="0.25">
      <c r="D40" s="19"/>
      <c r="E40" s="20"/>
      <c r="F40" s="20"/>
      <c r="G40" s="20"/>
      <c r="H40" s="4" t="s">
        <v>12</v>
      </c>
      <c r="I40" s="5">
        <f>IF($F$9="Monthly",$F$10,0)</f>
        <v>11100.295724080675</v>
      </c>
      <c r="J40" s="5">
        <f t="shared" si="3"/>
        <v>261584.01888582311</v>
      </c>
      <c r="K40" s="6">
        <f t="shared" si="2"/>
        <v>1896.4841369222174</v>
      </c>
      <c r="L40" s="20"/>
      <c r="M40" s="20"/>
      <c r="N40" s="20"/>
      <c r="O40" s="21"/>
    </row>
    <row r="41" spans="4:15" x14ac:dyDescent="0.25">
      <c r="D41" s="19"/>
      <c r="E41" s="20"/>
      <c r="F41" s="20"/>
      <c r="G41" s="20"/>
      <c r="H41" s="4" t="s">
        <v>13</v>
      </c>
      <c r="I41" s="5">
        <f>IF($F$9="Monthly",$F$10,0)</f>
        <v>11100.295724080675</v>
      </c>
      <c r="J41" s="5">
        <f t="shared" si="3"/>
        <v>272684.31460990378</v>
      </c>
      <c r="K41" s="6">
        <f t="shared" si="2"/>
        <v>1976.9612809218024</v>
      </c>
      <c r="L41" s="20"/>
      <c r="M41" s="20"/>
      <c r="N41" s="20"/>
      <c r="O41" s="21"/>
    </row>
    <row r="42" spans="4:15" x14ac:dyDescent="0.25">
      <c r="D42" s="19"/>
      <c r="E42" s="20"/>
      <c r="F42" s="20"/>
      <c r="G42" s="20"/>
      <c r="H42" s="7" t="s">
        <v>21</v>
      </c>
      <c r="I42" s="9"/>
      <c r="J42" s="9">
        <f>J41+SUM(K30:K41)</f>
        <v>291096.35847699281</v>
      </c>
      <c r="K42" s="10"/>
      <c r="L42" s="20"/>
      <c r="M42" s="20"/>
      <c r="N42" s="20"/>
      <c r="O42" s="21"/>
    </row>
    <row r="43" spans="4:15" x14ac:dyDescent="0.25">
      <c r="D43" s="19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1"/>
    </row>
    <row r="44" spans="4:15" x14ac:dyDescent="0.25">
      <c r="D44" s="19"/>
      <c r="E44" s="20"/>
      <c r="F44" s="20"/>
      <c r="G44" s="20"/>
      <c r="H44" s="114" t="s">
        <v>18</v>
      </c>
      <c r="I44" s="115"/>
      <c r="J44" s="115"/>
      <c r="K44" s="116"/>
      <c r="L44" s="20"/>
      <c r="M44" s="20"/>
      <c r="N44" s="20"/>
      <c r="O44" s="21"/>
    </row>
    <row r="45" spans="4:15" x14ac:dyDescent="0.25">
      <c r="D45" s="19"/>
      <c r="E45" s="20"/>
      <c r="F45" s="20"/>
      <c r="G45" s="20"/>
      <c r="H45" s="1" t="s">
        <v>1</v>
      </c>
      <c r="I45" s="2" t="s">
        <v>14</v>
      </c>
      <c r="J45" s="2" t="s">
        <v>0</v>
      </c>
      <c r="K45" s="3" t="s">
        <v>15</v>
      </c>
      <c r="L45" s="20"/>
      <c r="M45" s="20"/>
      <c r="N45" s="20"/>
      <c r="O45" s="21"/>
    </row>
    <row r="46" spans="4:15" x14ac:dyDescent="0.25">
      <c r="D46" s="19"/>
      <c r="E46" s="20"/>
      <c r="F46" s="20"/>
      <c r="G46" s="20"/>
      <c r="H46" s="4" t="s">
        <v>2</v>
      </c>
      <c r="I46" s="5">
        <f>$F$10</f>
        <v>11100.295724080675</v>
      </c>
      <c r="J46" s="5">
        <f>I46+J42</f>
        <v>302196.65420107351</v>
      </c>
      <c r="K46" s="6">
        <f t="shared" ref="K46:K57" si="4">J46*$K$9/12</f>
        <v>2190.9257429577829</v>
      </c>
      <c r="L46" s="20"/>
      <c r="M46" s="20"/>
      <c r="N46" s="20"/>
      <c r="O46" s="21"/>
    </row>
    <row r="47" spans="4:15" x14ac:dyDescent="0.25">
      <c r="D47" s="19"/>
      <c r="E47" s="20"/>
      <c r="F47" s="20"/>
      <c r="G47" s="20"/>
      <c r="H47" s="4" t="s">
        <v>3</v>
      </c>
      <c r="I47" s="5">
        <f>IF($F$9="Monthly",$F$10,0)</f>
        <v>11100.295724080675</v>
      </c>
      <c r="J47" s="5">
        <f>I47+J46</f>
        <v>313296.94992515421</v>
      </c>
      <c r="K47" s="6">
        <f t="shared" si="4"/>
        <v>2271.4028869573681</v>
      </c>
      <c r="L47" s="20"/>
      <c r="M47" s="20"/>
      <c r="N47" s="20"/>
      <c r="O47" s="21"/>
    </row>
    <row r="48" spans="4:15" x14ac:dyDescent="0.25">
      <c r="D48" s="19"/>
      <c r="E48" s="20"/>
      <c r="F48" s="20"/>
      <c r="G48" s="20"/>
      <c r="H48" s="4" t="s">
        <v>4</v>
      </c>
      <c r="I48" s="5">
        <f>IF($F$9="Monthly",$F$10,0)</f>
        <v>11100.295724080675</v>
      </c>
      <c r="J48" s="5">
        <f t="shared" ref="J48:J57" si="5">I48+J47</f>
        <v>324397.24564923492</v>
      </c>
      <c r="K48" s="6">
        <f t="shared" si="4"/>
        <v>2351.8800309569529</v>
      </c>
      <c r="L48" s="20"/>
      <c r="M48" s="20"/>
      <c r="N48" s="20"/>
      <c r="O48" s="21"/>
    </row>
    <row r="49" spans="4:15" x14ac:dyDescent="0.25">
      <c r="D49" s="19"/>
      <c r="E49" s="20"/>
      <c r="F49" s="20"/>
      <c r="G49" s="20"/>
      <c r="H49" s="4" t="s">
        <v>5</v>
      </c>
      <c r="I49" s="5">
        <f>IF(OR($F$9="Monthly",$F$9="Quarterly"),$F$10,0)</f>
        <v>11100.295724080675</v>
      </c>
      <c r="J49" s="5">
        <f t="shared" si="5"/>
        <v>335497.54137331562</v>
      </c>
      <c r="K49" s="6">
        <f t="shared" si="4"/>
        <v>2432.3571749565381</v>
      </c>
      <c r="L49" s="20"/>
      <c r="M49" s="20"/>
      <c r="N49" s="20"/>
      <c r="O49" s="21"/>
    </row>
    <row r="50" spans="4:15" x14ac:dyDescent="0.25">
      <c r="D50" s="19"/>
      <c r="E50" s="20"/>
      <c r="F50" s="20"/>
      <c r="G50" s="20"/>
      <c r="H50" s="4" t="s">
        <v>6</v>
      </c>
      <c r="I50" s="5">
        <f>IF($F$9="Monthly",$F$10,0)</f>
        <v>11100.295724080675</v>
      </c>
      <c r="J50" s="5">
        <f t="shared" si="5"/>
        <v>346597.83709739632</v>
      </c>
      <c r="K50" s="6">
        <f t="shared" si="4"/>
        <v>2512.8343189561233</v>
      </c>
      <c r="L50" s="20"/>
      <c r="M50" s="20"/>
      <c r="N50" s="20"/>
      <c r="O50" s="21"/>
    </row>
    <row r="51" spans="4:15" x14ac:dyDescent="0.25">
      <c r="D51" s="19"/>
      <c r="E51" s="20"/>
      <c r="F51" s="20"/>
      <c r="G51" s="20"/>
      <c r="H51" s="4" t="s">
        <v>7</v>
      </c>
      <c r="I51" s="5">
        <f>IF($F$9="Monthly",$F$10,0)</f>
        <v>11100.295724080675</v>
      </c>
      <c r="J51" s="5">
        <f t="shared" si="5"/>
        <v>357698.13282147702</v>
      </c>
      <c r="K51" s="6">
        <f t="shared" si="4"/>
        <v>2593.3114629557081</v>
      </c>
      <c r="L51" s="20"/>
      <c r="M51" s="20"/>
      <c r="N51" s="20"/>
      <c r="O51" s="21"/>
    </row>
    <row r="52" spans="4:15" x14ac:dyDescent="0.25">
      <c r="D52" s="19"/>
      <c r="E52" s="20"/>
      <c r="F52" s="20"/>
      <c r="G52" s="20"/>
      <c r="H52" s="4" t="s">
        <v>8</v>
      </c>
      <c r="I52" s="5">
        <f>IF($F$9&lt;&gt;"Annual",$F$10,0)</f>
        <v>11100.295724080675</v>
      </c>
      <c r="J52" s="5">
        <f t="shared" si="5"/>
        <v>368798.42854555772</v>
      </c>
      <c r="K52" s="6">
        <f t="shared" si="4"/>
        <v>2673.7886069552933</v>
      </c>
      <c r="L52" s="20"/>
      <c r="M52" s="20"/>
      <c r="N52" s="20"/>
      <c r="O52" s="21"/>
    </row>
    <row r="53" spans="4:15" x14ac:dyDescent="0.25">
      <c r="D53" s="19"/>
      <c r="E53" s="20"/>
      <c r="F53" s="20"/>
      <c r="G53" s="20"/>
      <c r="H53" s="4" t="s">
        <v>9</v>
      </c>
      <c r="I53" s="5">
        <f>IF($F$9="Monthly",$F$10,0)</f>
        <v>11100.295724080675</v>
      </c>
      <c r="J53" s="5">
        <f t="shared" si="5"/>
        <v>379898.72426963842</v>
      </c>
      <c r="K53" s="6">
        <f t="shared" si="4"/>
        <v>2754.2657509548785</v>
      </c>
      <c r="L53" s="20"/>
      <c r="M53" s="20"/>
      <c r="N53" s="20"/>
      <c r="O53" s="21"/>
    </row>
    <row r="54" spans="4:15" x14ac:dyDescent="0.25">
      <c r="D54" s="19"/>
      <c r="E54" s="20"/>
      <c r="F54" s="20"/>
      <c r="G54" s="20"/>
      <c r="H54" s="4" t="s">
        <v>10</v>
      </c>
      <c r="I54" s="5">
        <f>IF($F$9="Monthly",$F$10,0)</f>
        <v>11100.295724080675</v>
      </c>
      <c r="J54" s="5">
        <f t="shared" si="5"/>
        <v>390999.01999371912</v>
      </c>
      <c r="K54" s="6">
        <f t="shared" si="4"/>
        <v>2834.7428949544633</v>
      </c>
      <c r="L54" s="20"/>
      <c r="M54" s="20"/>
      <c r="N54" s="20"/>
      <c r="O54" s="21"/>
    </row>
    <row r="55" spans="4:15" x14ac:dyDescent="0.25">
      <c r="D55" s="19"/>
      <c r="E55" s="20"/>
      <c r="F55" s="20"/>
      <c r="G55" s="20"/>
      <c r="H55" s="4" t="s">
        <v>11</v>
      </c>
      <c r="I55" s="5">
        <f>IF(OR($F$9="Monthly",$F$9="Quarterly"),$F$10,0)</f>
        <v>11100.295724080675</v>
      </c>
      <c r="J55" s="5">
        <f t="shared" si="5"/>
        <v>402099.31571779982</v>
      </c>
      <c r="K55" s="6">
        <f t="shared" si="4"/>
        <v>2915.2200389540485</v>
      </c>
      <c r="L55" s="20"/>
      <c r="M55" s="20"/>
      <c r="N55" s="20"/>
      <c r="O55" s="21"/>
    </row>
    <row r="56" spans="4:15" x14ac:dyDescent="0.25">
      <c r="D56" s="19"/>
      <c r="E56" s="20"/>
      <c r="F56" s="20"/>
      <c r="G56" s="20"/>
      <c r="H56" s="4" t="s">
        <v>12</v>
      </c>
      <c r="I56" s="5">
        <f>IF($F$9="Monthly",$F$10,0)</f>
        <v>11100.295724080675</v>
      </c>
      <c r="J56" s="5">
        <f t="shared" si="5"/>
        <v>413199.61144188052</v>
      </c>
      <c r="K56" s="6">
        <f t="shared" si="4"/>
        <v>2995.6971829536337</v>
      </c>
      <c r="L56" s="20"/>
      <c r="M56" s="20"/>
      <c r="N56" s="20"/>
      <c r="O56" s="21"/>
    </row>
    <row r="57" spans="4:15" x14ac:dyDescent="0.25">
      <c r="D57" s="19"/>
      <c r="E57" s="20"/>
      <c r="F57" s="20"/>
      <c r="G57" s="20"/>
      <c r="H57" s="4" t="s">
        <v>13</v>
      </c>
      <c r="I57" s="5">
        <f>IF($F$9="Monthly",$F$10,0)</f>
        <v>11100.295724080675</v>
      </c>
      <c r="J57" s="5">
        <f t="shared" si="5"/>
        <v>424299.90716596122</v>
      </c>
      <c r="K57" s="6">
        <f t="shared" si="4"/>
        <v>3076.1743269532185</v>
      </c>
      <c r="L57" s="20"/>
      <c r="M57" s="20"/>
      <c r="N57" s="20"/>
      <c r="O57" s="21"/>
    </row>
    <row r="58" spans="4:15" x14ac:dyDescent="0.25">
      <c r="D58" s="19"/>
      <c r="E58" s="20"/>
      <c r="F58" s="20"/>
      <c r="G58" s="20"/>
      <c r="H58" s="7" t="s">
        <v>21</v>
      </c>
      <c r="I58" s="9"/>
      <c r="J58" s="9">
        <f>J57+SUM(K46:K57)</f>
        <v>455902.50758542726</v>
      </c>
      <c r="K58" s="10"/>
      <c r="L58" s="20"/>
      <c r="M58" s="20"/>
      <c r="N58" s="20"/>
      <c r="O58" s="21"/>
    </row>
    <row r="59" spans="4:15" x14ac:dyDescent="0.25">
      <c r="D59" s="19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1"/>
    </row>
    <row r="60" spans="4:15" x14ac:dyDescent="0.25">
      <c r="D60" s="19"/>
      <c r="E60" s="20"/>
      <c r="F60" s="20"/>
      <c r="G60" s="20"/>
      <c r="H60" s="114" t="s">
        <v>19</v>
      </c>
      <c r="I60" s="115"/>
      <c r="J60" s="115"/>
      <c r="K60" s="116"/>
      <c r="L60" s="20"/>
      <c r="M60" s="20"/>
      <c r="N60" s="20"/>
      <c r="O60" s="21"/>
    </row>
    <row r="61" spans="4:15" x14ac:dyDescent="0.25">
      <c r="D61" s="19"/>
      <c r="E61" s="20"/>
      <c r="F61" s="20"/>
      <c r="G61" s="20"/>
      <c r="H61" s="1" t="s">
        <v>1</v>
      </c>
      <c r="I61" s="2" t="s">
        <v>14</v>
      </c>
      <c r="J61" s="2" t="s">
        <v>0</v>
      </c>
      <c r="K61" s="3" t="s">
        <v>15</v>
      </c>
      <c r="L61" s="20"/>
      <c r="M61" s="20"/>
      <c r="N61" s="20"/>
      <c r="O61" s="21"/>
    </row>
    <row r="62" spans="4:15" x14ac:dyDescent="0.25">
      <c r="D62" s="19"/>
      <c r="E62" s="20"/>
      <c r="F62" s="20"/>
      <c r="G62" s="20"/>
      <c r="H62" s="4" t="s">
        <v>2</v>
      </c>
      <c r="I62" s="5">
        <f>$F$10</f>
        <v>11100.295724080675</v>
      </c>
      <c r="J62" s="5">
        <f>I62+J58</f>
        <v>467002.80330950796</v>
      </c>
      <c r="K62" s="6">
        <f t="shared" ref="K62:K73" si="6">J62*$K$9/12</f>
        <v>3385.7703239939324</v>
      </c>
      <c r="L62" s="20"/>
      <c r="M62" s="20"/>
      <c r="N62" s="20"/>
      <c r="O62" s="21"/>
    </row>
    <row r="63" spans="4:15" x14ac:dyDescent="0.25">
      <c r="D63" s="19"/>
      <c r="E63" s="20"/>
      <c r="F63" s="20"/>
      <c r="G63" s="20"/>
      <c r="H63" s="4" t="s">
        <v>3</v>
      </c>
      <c r="I63" s="5">
        <f>IF($F$9="Monthly",$F$10,0)</f>
        <v>11100.295724080675</v>
      </c>
      <c r="J63" s="5">
        <f>I63+J62</f>
        <v>478103.09903358866</v>
      </c>
      <c r="K63" s="6">
        <f t="shared" si="6"/>
        <v>3466.2474679935171</v>
      </c>
      <c r="L63" s="20"/>
      <c r="M63" s="20"/>
      <c r="N63" s="20"/>
      <c r="O63" s="21"/>
    </row>
    <row r="64" spans="4:15" x14ac:dyDescent="0.25">
      <c r="D64" s="19"/>
      <c r="E64" s="20"/>
      <c r="F64" s="20"/>
      <c r="G64" s="20"/>
      <c r="H64" s="4" t="s">
        <v>4</v>
      </c>
      <c r="I64" s="5">
        <f>IF($F$9="Monthly",$F$10,0)</f>
        <v>11100.295724080675</v>
      </c>
      <c r="J64" s="5">
        <f t="shared" ref="J64:J73" si="7">I64+J63</f>
        <v>489203.39475766936</v>
      </c>
      <c r="K64" s="6">
        <f t="shared" si="6"/>
        <v>3546.7246119931024</v>
      </c>
      <c r="L64" s="20"/>
      <c r="M64" s="20"/>
      <c r="N64" s="20"/>
      <c r="O64" s="21"/>
    </row>
    <row r="65" spans="4:15" x14ac:dyDescent="0.25">
      <c r="D65" s="19"/>
      <c r="E65" s="20"/>
      <c r="F65" s="20"/>
      <c r="G65" s="20"/>
      <c r="H65" s="4" t="s">
        <v>5</v>
      </c>
      <c r="I65" s="5">
        <f>IF(OR($F$9="Monthly",$F$9="Quarterly"),$F$10,0)</f>
        <v>11100.295724080675</v>
      </c>
      <c r="J65" s="5">
        <f t="shared" si="7"/>
        <v>500303.69048175006</v>
      </c>
      <c r="K65" s="6">
        <f t="shared" si="6"/>
        <v>3627.2017559926876</v>
      </c>
      <c r="L65" s="20"/>
      <c r="M65" s="20"/>
      <c r="N65" s="20"/>
      <c r="O65" s="21"/>
    </row>
    <row r="66" spans="4:15" x14ac:dyDescent="0.25">
      <c r="D66" s="19"/>
      <c r="E66" s="20"/>
      <c r="F66" s="20"/>
      <c r="G66" s="20"/>
      <c r="H66" s="4" t="s">
        <v>6</v>
      </c>
      <c r="I66" s="5">
        <f>IF($F$9="Monthly",$F$10,0)</f>
        <v>11100.295724080675</v>
      </c>
      <c r="J66" s="5">
        <f t="shared" si="7"/>
        <v>511403.98620583076</v>
      </c>
      <c r="K66" s="6">
        <f t="shared" si="6"/>
        <v>3707.6788999922724</v>
      </c>
      <c r="L66" s="20"/>
      <c r="M66" s="20"/>
      <c r="N66" s="20"/>
      <c r="O66" s="21"/>
    </row>
    <row r="67" spans="4:15" x14ac:dyDescent="0.25">
      <c r="D67" s="19"/>
      <c r="E67" s="20"/>
      <c r="F67" s="20"/>
      <c r="G67" s="20"/>
      <c r="H67" s="4" t="s">
        <v>7</v>
      </c>
      <c r="I67" s="5">
        <f>IF($F$9="Monthly",$F$10,0)</f>
        <v>11100.295724080675</v>
      </c>
      <c r="J67" s="5">
        <f t="shared" si="7"/>
        <v>522504.28192991146</v>
      </c>
      <c r="K67" s="6">
        <f t="shared" si="6"/>
        <v>3788.1560439918576</v>
      </c>
      <c r="L67" s="20"/>
      <c r="M67" s="20"/>
      <c r="N67" s="20"/>
      <c r="O67" s="21"/>
    </row>
    <row r="68" spans="4:15" x14ac:dyDescent="0.25">
      <c r="D68" s="19"/>
      <c r="E68" s="20"/>
      <c r="F68" s="20"/>
      <c r="G68" s="20"/>
      <c r="H68" s="4" t="s">
        <v>8</v>
      </c>
      <c r="I68" s="5">
        <f>IF($F$9&lt;&gt;"Annual",$F$10,0)</f>
        <v>11100.295724080675</v>
      </c>
      <c r="J68" s="5">
        <f t="shared" si="7"/>
        <v>533604.57765399211</v>
      </c>
      <c r="K68" s="6">
        <f t="shared" si="6"/>
        <v>3868.6331879914428</v>
      </c>
      <c r="L68" s="20"/>
      <c r="M68" s="20"/>
      <c r="N68" s="20"/>
      <c r="O68" s="21"/>
    </row>
    <row r="69" spans="4:15" x14ac:dyDescent="0.25">
      <c r="D69" s="19"/>
      <c r="E69" s="20"/>
      <c r="F69" s="20"/>
      <c r="G69" s="20"/>
      <c r="H69" s="4" t="s">
        <v>9</v>
      </c>
      <c r="I69" s="5">
        <f>IF($F$9="Monthly",$F$10,0)</f>
        <v>11100.295724080675</v>
      </c>
      <c r="J69" s="5">
        <f t="shared" si="7"/>
        <v>544704.87337807275</v>
      </c>
      <c r="K69" s="6">
        <f t="shared" si="6"/>
        <v>3949.1103319910271</v>
      </c>
      <c r="L69" s="20"/>
      <c r="M69" s="20"/>
      <c r="N69" s="20"/>
      <c r="O69" s="21"/>
    </row>
    <row r="70" spans="4:15" x14ac:dyDescent="0.25">
      <c r="D70" s="19"/>
      <c r="E70" s="20"/>
      <c r="F70" s="20"/>
      <c r="G70" s="20"/>
      <c r="H70" s="4" t="s">
        <v>10</v>
      </c>
      <c r="I70" s="5">
        <f>IF($F$9="Monthly",$F$10,0)</f>
        <v>11100.295724080675</v>
      </c>
      <c r="J70" s="5">
        <f t="shared" si="7"/>
        <v>555805.16910215339</v>
      </c>
      <c r="K70" s="6">
        <f t="shared" si="6"/>
        <v>4029.5874759906114</v>
      </c>
      <c r="L70" s="20"/>
      <c r="M70" s="20"/>
      <c r="N70" s="20"/>
      <c r="O70" s="21"/>
    </row>
    <row r="71" spans="4:15" x14ac:dyDescent="0.25">
      <c r="D71" s="19"/>
      <c r="E71" s="20"/>
      <c r="F71" s="20"/>
      <c r="G71" s="20"/>
      <c r="H71" s="4" t="s">
        <v>11</v>
      </c>
      <c r="I71" s="5">
        <f>IF(OR($F$9="Monthly",$F$9="Quarterly"),$F$10,0)</f>
        <v>11100.295724080675</v>
      </c>
      <c r="J71" s="5">
        <f t="shared" si="7"/>
        <v>566905.46482623403</v>
      </c>
      <c r="K71" s="6">
        <f t="shared" si="6"/>
        <v>4110.0646199901967</v>
      </c>
      <c r="L71" s="20"/>
      <c r="M71" s="20"/>
      <c r="N71" s="20"/>
      <c r="O71" s="21"/>
    </row>
    <row r="72" spans="4:15" x14ac:dyDescent="0.25">
      <c r="D72" s="19"/>
      <c r="E72" s="20"/>
      <c r="F72" s="20"/>
      <c r="G72" s="20"/>
      <c r="H72" s="4" t="s">
        <v>12</v>
      </c>
      <c r="I72" s="5">
        <f>IF($F$9="Monthly",$F$10,0)</f>
        <v>11100.295724080675</v>
      </c>
      <c r="J72" s="5">
        <f t="shared" si="7"/>
        <v>578005.76055031468</v>
      </c>
      <c r="K72" s="6">
        <f t="shared" si="6"/>
        <v>4190.5417639897814</v>
      </c>
      <c r="L72" s="20"/>
      <c r="M72" s="20"/>
      <c r="N72" s="20"/>
      <c r="O72" s="21"/>
    </row>
    <row r="73" spans="4:15" x14ac:dyDescent="0.25">
      <c r="D73" s="19"/>
      <c r="E73" s="20"/>
      <c r="F73" s="20"/>
      <c r="G73" s="20"/>
      <c r="H73" s="4" t="s">
        <v>13</v>
      </c>
      <c r="I73" s="5">
        <f>IF($F$9="Monthly",$F$10,0)</f>
        <v>11100.295724080675</v>
      </c>
      <c r="J73" s="5">
        <f t="shared" si="7"/>
        <v>589106.05627439532</v>
      </c>
      <c r="K73" s="6">
        <f t="shared" si="6"/>
        <v>4271.0189079893653</v>
      </c>
      <c r="L73" s="20"/>
      <c r="M73" s="20"/>
      <c r="N73" s="20"/>
      <c r="O73" s="21"/>
    </row>
    <row r="74" spans="4:15" x14ac:dyDescent="0.25">
      <c r="D74" s="19"/>
      <c r="E74" s="20"/>
      <c r="F74" s="20"/>
      <c r="G74" s="20"/>
      <c r="H74" s="7" t="s">
        <v>21</v>
      </c>
      <c r="I74" s="9"/>
      <c r="J74" s="9">
        <f>J73+SUM(K62:K73)</f>
        <v>635046.79166629515</v>
      </c>
      <c r="K74" s="10"/>
      <c r="L74" s="20"/>
      <c r="M74" s="20"/>
      <c r="N74" s="20"/>
      <c r="O74" s="21"/>
    </row>
    <row r="75" spans="4:15" x14ac:dyDescent="0.25">
      <c r="D75" s="19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</row>
    <row r="76" spans="4:15" x14ac:dyDescent="0.25">
      <c r="D76" s="19"/>
      <c r="E76" s="20"/>
      <c r="F76" s="20"/>
      <c r="G76" s="20"/>
      <c r="H76" s="114" t="s">
        <v>20</v>
      </c>
      <c r="I76" s="115"/>
      <c r="J76" s="115"/>
      <c r="K76" s="116"/>
      <c r="L76" s="20"/>
      <c r="M76" s="20"/>
      <c r="N76" s="20"/>
      <c r="O76" s="21"/>
    </row>
    <row r="77" spans="4:15" x14ac:dyDescent="0.25">
      <c r="D77" s="19"/>
      <c r="E77" s="20"/>
      <c r="F77" s="20"/>
      <c r="G77" s="20"/>
      <c r="H77" s="1" t="s">
        <v>1</v>
      </c>
      <c r="I77" s="2" t="s">
        <v>14</v>
      </c>
      <c r="J77" s="2" t="s">
        <v>0</v>
      </c>
      <c r="K77" s="3" t="s">
        <v>15</v>
      </c>
      <c r="L77" s="20"/>
      <c r="M77" s="20"/>
      <c r="N77" s="20"/>
      <c r="O77" s="21"/>
    </row>
    <row r="78" spans="4:15" x14ac:dyDescent="0.25">
      <c r="D78" s="19"/>
      <c r="E78" s="20"/>
      <c r="F78" s="20"/>
      <c r="G78" s="20"/>
      <c r="H78" s="4" t="s">
        <v>2</v>
      </c>
      <c r="I78" s="5">
        <f>$F$10</f>
        <v>11100.295724080675</v>
      </c>
      <c r="J78" s="5">
        <f>I78+J74</f>
        <v>646147.08739037579</v>
      </c>
      <c r="K78" s="6">
        <f t="shared" ref="K78:K89" si="8">J78*$K$9/12</f>
        <v>4684.5663835802243</v>
      </c>
      <c r="L78" s="20"/>
      <c r="M78" s="20"/>
      <c r="N78" s="20"/>
      <c r="O78" s="21"/>
    </row>
    <row r="79" spans="4:15" x14ac:dyDescent="0.25">
      <c r="D79" s="19"/>
      <c r="E79" s="20"/>
      <c r="F79" s="20"/>
      <c r="G79" s="20"/>
      <c r="H79" s="4" t="s">
        <v>3</v>
      </c>
      <c r="I79" s="5">
        <f>IF($F$9="Monthly",$F$10,0)</f>
        <v>11100.295724080675</v>
      </c>
      <c r="J79" s="5">
        <f>I79+J78</f>
        <v>657247.38311445643</v>
      </c>
      <c r="K79" s="6">
        <f t="shared" si="8"/>
        <v>4765.0435275798091</v>
      </c>
      <c r="L79" s="20"/>
      <c r="M79" s="20"/>
      <c r="N79" s="20"/>
      <c r="O79" s="21"/>
    </row>
    <row r="80" spans="4:15" x14ac:dyDescent="0.25">
      <c r="D80" s="19"/>
      <c r="E80" s="20"/>
      <c r="F80" s="20"/>
      <c r="G80" s="20"/>
      <c r="H80" s="4" t="s">
        <v>4</v>
      </c>
      <c r="I80" s="5">
        <f>IF($F$9="Monthly",$F$10,0)</f>
        <v>11100.295724080675</v>
      </c>
      <c r="J80" s="5">
        <f t="shared" ref="J80:J89" si="9">I80+J79</f>
        <v>668347.67883853707</v>
      </c>
      <c r="K80" s="6">
        <f t="shared" si="8"/>
        <v>4845.5206715793929</v>
      </c>
      <c r="L80" s="20"/>
      <c r="M80" s="20"/>
      <c r="N80" s="20"/>
      <c r="O80" s="21"/>
    </row>
    <row r="81" spans="4:15" x14ac:dyDescent="0.25">
      <c r="D81" s="19"/>
      <c r="E81" s="20"/>
      <c r="F81" s="20"/>
      <c r="G81" s="20"/>
      <c r="H81" s="4" t="s">
        <v>5</v>
      </c>
      <c r="I81" s="5">
        <f>IF(OR($F$9="Monthly",$F$9="Quarterly"),$F$10,0)</f>
        <v>11100.295724080675</v>
      </c>
      <c r="J81" s="5">
        <f t="shared" si="9"/>
        <v>679447.97456261772</v>
      </c>
      <c r="K81" s="6">
        <f t="shared" si="8"/>
        <v>4925.9978155789786</v>
      </c>
      <c r="L81" s="20"/>
      <c r="M81" s="20"/>
      <c r="N81" s="20"/>
      <c r="O81" s="21"/>
    </row>
    <row r="82" spans="4:15" x14ac:dyDescent="0.25">
      <c r="D82" s="19"/>
      <c r="E82" s="20"/>
      <c r="F82" s="20"/>
      <c r="G82" s="20"/>
      <c r="H82" s="4" t="s">
        <v>6</v>
      </c>
      <c r="I82" s="5">
        <f>IF($F$9="Monthly",$F$10,0)</f>
        <v>11100.295724080675</v>
      </c>
      <c r="J82" s="5">
        <f t="shared" si="9"/>
        <v>690548.27028669836</v>
      </c>
      <c r="K82" s="6">
        <f t="shared" si="8"/>
        <v>5006.4749595785624</v>
      </c>
      <c r="L82" s="20"/>
      <c r="M82" s="20"/>
      <c r="N82" s="20"/>
      <c r="O82" s="21"/>
    </row>
    <row r="83" spans="4:15" x14ac:dyDescent="0.25">
      <c r="D83" s="19"/>
      <c r="E83" s="20"/>
      <c r="F83" s="20"/>
      <c r="G83" s="20"/>
      <c r="H83" s="4" t="s">
        <v>7</v>
      </c>
      <c r="I83" s="5">
        <f>IF($F$9="Monthly",$F$10,0)</f>
        <v>11100.295724080675</v>
      </c>
      <c r="J83" s="5">
        <f t="shared" si="9"/>
        <v>701648.566010779</v>
      </c>
      <c r="K83" s="6">
        <f t="shared" si="8"/>
        <v>5086.9521035781472</v>
      </c>
      <c r="L83" s="20"/>
      <c r="M83" s="20"/>
      <c r="N83" s="20"/>
      <c r="O83" s="21"/>
    </row>
    <row r="84" spans="4:15" x14ac:dyDescent="0.25">
      <c r="D84" s="19"/>
      <c r="E84" s="20"/>
      <c r="F84" s="20"/>
      <c r="G84" s="20"/>
      <c r="H84" s="4" t="s">
        <v>8</v>
      </c>
      <c r="I84" s="5">
        <f>IF($F$9&lt;&gt;"Annual",$F$10,0)</f>
        <v>11100.295724080675</v>
      </c>
      <c r="J84" s="5">
        <f t="shared" si="9"/>
        <v>712748.86173485965</v>
      </c>
      <c r="K84" s="6">
        <f t="shared" si="8"/>
        <v>5167.429247577732</v>
      </c>
      <c r="L84" s="20"/>
      <c r="M84" s="20"/>
      <c r="N84" s="20"/>
      <c r="O84" s="21"/>
    </row>
    <row r="85" spans="4:15" x14ac:dyDescent="0.25">
      <c r="D85" s="19"/>
      <c r="E85" s="20"/>
      <c r="F85" s="20"/>
      <c r="G85" s="20"/>
      <c r="H85" s="4" t="s">
        <v>9</v>
      </c>
      <c r="I85" s="5">
        <f>IF($F$9="Monthly",$F$10,0)</f>
        <v>11100.295724080675</v>
      </c>
      <c r="J85" s="5">
        <f t="shared" si="9"/>
        <v>723849.15745894029</v>
      </c>
      <c r="K85" s="6">
        <f t="shared" si="8"/>
        <v>5247.9063915773168</v>
      </c>
      <c r="L85" s="20"/>
      <c r="M85" s="20"/>
      <c r="N85" s="20"/>
      <c r="O85" s="21"/>
    </row>
    <row r="86" spans="4:15" x14ac:dyDescent="0.25">
      <c r="D86" s="19"/>
      <c r="E86" s="20"/>
      <c r="F86" s="20"/>
      <c r="G86" s="20"/>
      <c r="H86" s="4" t="s">
        <v>10</v>
      </c>
      <c r="I86" s="5">
        <f>IF($F$9="Monthly",$F$10,0)</f>
        <v>11100.295724080675</v>
      </c>
      <c r="J86" s="5">
        <f t="shared" si="9"/>
        <v>734949.45318302093</v>
      </c>
      <c r="K86" s="6">
        <f t="shared" si="8"/>
        <v>5328.3835355769015</v>
      </c>
      <c r="L86" s="20"/>
      <c r="M86" s="20"/>
      <c r="N86" s="20"/>
      <c r="O86" s="21"/>
    </row>
    <row r="87" spans="4:15" x14ac:dyDescent="0.25">
      <c r="D87" s="19"/>
      <c r="E87" s="20"/>
      <c r="F87" s="20"/>
      <c r="G87" s="20"/>
      <c r="H87" s="4" t="s">
        <v>11</v>
      </c>
      <c r="I87" s="5">
        <f>IF(OR($F$9="Monthly",$F$9="Quarterly"),$F$10,0)</f>
        <v>11100.295724080675</v>
      </c>
      <c r="J87" s="5">
        <f t="shared" si="9"/>
        <v>746049.74890710157</v>
      </c>
      <c r="K87" s="6">
        <f t="shared" si="8"/>
        <v>5408.8606795764863</v>
      </c>
      <c r="L87" s="20"/>
      <c r="M87" s="20"/>
      <c r="N87" s="20"/>
      <c r="O87" s="21"/>
    </row>
    <row r="88" spans="4:15" x14ac:dyDescent="0.25">
      <c r="D88" s="19"/>
      <c r="E88" s="20"/>
      <c r="F88" s="20"/>
      <c r="G88" s="20"/>
      <c r="H88" s="4" t="s">
        <v>12</v>
      </c>
      <c r="I88" s="5">
        <f>IF($F$9="Monthly",$F$10,0)</f>
        <v>11100.295724080675</v>
      </c>
      <c r="J88" s="5">
        <f t="shared" si="9"/>
        <v>757150.04463118222</v>
      </c>
      <c r="K88" s="6">
        <f t="shared" si="8"/>
        <v>5489.3378235760711</v>
      </c>
      <c r="L88" s="20"/>
      <c r="M88" s="20"/>
      <c r="N88" s="20"/>
      <c r="O88" s="21"/>
    </row>
    <row r="89" spans="4:15" x14ac:dyDescent="0.25">
      <c r="D89" s="19"/>
      <c r="E89" s="20"/>
      <c r="F89" s="20"/>
      <c r="G89" s="20"/>
      <c r="H89" s="4" t="s">
        <v>13</v>
      </c>
      <c r="I89" s="5">
        <f>IF($F$9="Monthly",$F$10,0)</f>
        <v>11100.295724080675</v>
      </c>
      <c r="J89" s="5">
        <f t="shared" si="9"/>
        <v>768250.34035526286</v>
      </c>
      <c r="K89" s="6">
        <f t="shared" si="8"/>
        <v>5569.8149675756549</v>
      </c>
      <c r="L89" s="20"/>
      <c r="M89" s="20"/>
      <c r="N89" s="20"/>
      <c r="O89" s="21"/>
    </row>
    <row r="90" spans="4:15" x14ac:dyDescent="0.25">
      <c r="D90" s="19"/>
      <c r="E90" s="20"/>
      <c r="F90" s="20"/>
      <c r="G90" s="20"/>
      <c r="H90" s="7" t="s">
        <v>21</v>
      </c>
      <c r="I90" s="9"/>
      <c r="J90" s="9">
        <f>J89+SUM(K78:K89)</f>
        <v>829776.62846219819</v>
      </c>
      <c r="K90" s="10"/>
      <c r="L90" s="20"/>
      <c r="M90" s="20"/>
      <c r="N90" s="20"/>
      <c r="O90" s="21"/>
    </row>
    <row r="91" spans="4:15" x14ac:dyDescent="0.25">
      <c r="D91" s="19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1"/>
    </row>
    <row r="92" spans="4:15" x14ac:dyDescent="0.25">
      <c r="D92" s="19"/>
      <c r="E92" s="20"/>
      <c r="F92" s="20"/>
      <c r="G92" s="20"/>
      <c r="H92" s="114" t="s">
        <v>22</v>
      </c>
      <c r="I92" s="115"/>
      <c r="J92" s="115"/>
      <c r="K92" s="116"/>
      <c r="L92" s="20"/>
      <c r="M92" s="20"/>
      <c r="N92" s="20"/>
      <c r="O92" s="21"/>
    </row>
    <row r="93" spans="4:15" x14ac:dyDescent="0.25">
      <c r="D93" s="19"/>
      <c r="E93" s="20"/>
      <c r="F93" s="20"/>
      <c r="G93" s="20"/>
      <c r="H93" s="1" t="s">
        <v>1</v>
      </c>
      <c r="I93" s="2" t="s">
        <v>14</v>
      </c>
      <c r="J93" s="2" t="s">
        <v>0</v>
      </c>
      <c r="K93" s="3" t="s">
        <v>15</v>
      </c>
      <c r="L93" s="20"/>
      <c r="M93" s="20"/>
      <c r="N93" s="20"/>
      <c r="O93" s="21"/>
    </row>
    <row r="94" spans="4:15" x14ac:dyDescent="0.25">
      <c r="D94" s="19"/>
      <c r="E94" s="20"/>
      <c r="F94" s="20"/>
      <c r="G94" s="20"/>
      <c r="H94" s="4" t="s">
        <v>2</v>
      </c>
      <c r="I94" s="5">
        <f>$F$10</f>
        <v>11100.295724080675</v>
      </c>
      <c r="J94" s="5">
        <f>I94+J90</f>
        <v>840876.92418627883</v>
      </c>
      <c r="K94" s="6">
        <f t="shared" ref="K94:K105" si="10">J94*$K$9/12</f>
        <v>6096.3577003505206</v>
      </c>
      <c r="L94" s="20"/>
      <c r="M94" s="20"/>
      <c r="N94" s="20"/>
      <c r="O94" s="21"/>
    </row>
    <row r="95" spans="4:15" x14ac:dyDescent="0.25">
      <c r="D95" s="19"/>
      <c r="E95" s="20"/>
      <c r="F95" s="20"/>
      <c r="G95" s="20"/>
      <c r="H95" s="4" t="s">
        <v>3</v>
      </c>
      <c r="I95" s="5">
        <f>IF($F$9="Monthly",$F$10,0)</f>
        <v>11100.295724080675</v>
      </c>
      <c r="J95" s="5">
        <f>I95+J94</f>
        <v>851977.21991035948</v>
      </c>
      <c r="K95" s="6">
        <f t="shared" si="10"/>
        <v>6176.8348443501054</v>
      </c>
      <c r="L95" s="20"/>
      <c r="M95" s="20"/>
      <c r="N95" s="20"/>
      <c r="O95" s="21"/>
    </row>
    <row r="96" spans="4:15" x14ac:dyDescent="0.25">
      <c r="D96" s="19"/>
      <c r="E96" s="20"/>
      <c r="F96" s="20"/>
      <c r="G96" s="20"/>
      <c r="H96" s="4" t="s">
        <v>4</v>
      </c>
      <c r="I96" s="5">
        <f>IF($F$9="Monthly",$F$10,0)</f>
        <v>11100.295724080675</v>
      </c>
      <c r="J96" s="5">
        <f t="shared" ref="J96:J105" si="11">I96+J95</f>
        <v>863077.51563444012</v>
      </c>
      <c r="K96" s="6">
        <f t="shared" si="10"/>
        <v>6257.3119883496902</v>
      </c>
      <c r="L96" s="20"/>
      <c r="M96" s="20"/>
      <c r="N96" s="20"/>
      <c r="O96" s="21"/>
    </row>
    <row r="97" spans="4:15" x14ac:dyDescent="0.25">
      <c r="D97" s="19"/>
      <c r="E97" s="20"/>
      <c r="F97" s="20"/>
      <c r="G97" s="20"/>
      <c r="H97" s="4" t="s">
        <v>5</v>
      </c>
      <c r="I97" s="5">
        <f>IF(OR($F$9="Monthly",$F$9="Quarterly"),$F$10,0)</f>
        <v>11100.295724080675</v>
      </c>
      <c r="J97" s="5">
        <f t="shared" si="11"/>
        <v>874177.81135852076</v>
      </c>
      <c r="K97" s="6">
        <f t="shared" si="10"/>
        <v>6337.7891323492759</v>
      </c>
      <c r="L97" s="20"/>
      <c r="M97" s="20"/>
      <c r="N97" s="20"/>
      <c r="O97" s="21"/>
    </row>
    <row r="98" spans="4:15" x14ac:dyDescent="0.25">
      <c r="D98" s="19"/>
      <c r="E98" s="20"/>
      <c r="F98" s="20"/>
      <c r="G98" s="20"/>
      <c r="H98" s="4" t="s">
        <v>6</v>
      </c>
      <c r="I98" s="5">
        <f>IF($F$9="Monthly",$F$10,0)</f>
        <v>11100.295724080675</v>
      </c>
      <c r="J98" s="5">
        <f t="shared" si="11"/>
        <v>885278.1070826014</v>
      </c>
      <c r="K98" s="6">
        <f t="shared" si="10"/>
        <v>6418.2662763488597</v>
      </c>
      <c r="L98" s="20"/>
      <c r="M98" s="20"/>
      <c r="N98" s="20"/>
      <c r="O98" s="21"/>
    </row>
    <row r="99" spans="4:15" x14ac:dyDescent="0.25">
      <c r="D99" s="19"/>
      <c r="E99" s="20"/>
      <c r="F99" s="20"/>
      <c r="G99" s="20"/>
      <c r="H99" s="4" t="s">
        <v>7</v>
      </c>
      <c r="I99" s="5">
        <f>IF($F$9="Monthly",$F$10,0)</f>
        <v>11100.295724080675</v>
      </c>
      <c r="J99" s="5">
        <f t="shared" si="11"/>
        <v>896378.40280668205</v>
      </c>
      <c r="K99" s="6">
        <f t="shared" si="10"/>
        <v>6498.7434203484445</v>
      </c>
      <c r="L99" s="20"/>
      <c r="M99" s="20"/>
      <c r="N99" s="20"/>
      <c r="O99" s="21"/>
    </row>
    <row r="100" spans="4:15" x14ac:dyDescent="0.25">
      <c r="D100" s="19"/>
      <c r="E100" s="20"/>
      <c r="F100" s="20"/>
      <c r="G100" s="20"/>
      <c r="H100" s="4" t="s">
        <v>8</v>
      </c>
      <c r="I100" s="5">
        <f>IF($F$9&lt;&gt;"Annual",$F$10,0)</f>
        <v>11100.295724080675</v>
      </c>
      <c r="J100" s="5">
        <f t="shared" si="11"/>
        <v>907478.69853076269</v>
      </c>
      <c r="K100" s="6">
        <f t="shared" si="10"/>
        <v>6579.2205643480293</v>
      </c>
      <c r="L100" s="20"/>
      <c r="M100" s="20"/>
      <c r="N100" s="20"/>
      <c r="O100" s="21"/>
    </row>
    <row r="101" spans="4:15" x14ac:dyDescent="0.25">
      <c r="D101" s="19"/>
      <c r="E101" s="20"/>
      <c r="F101" s="20"/>
      <c r="G101" s="20"/>
      <c r="H101" s="4" t="s">
        <v>9</v>
      </c>
      <c r="I101" s="5">
        <f>IF($F$9="Monthly",$F$10,0)</f>
        <v>11100.295724080675</v>
      </c>
      <c r="J101" s="5">
        <f t="shared" si="11"/>
        <v>918578.99425484333</v>
      </c>
      <c r="K101" s="6">
        <f t="shared" si="10"/>
        <v>6659.6977083476131</v>
      </c>
      <c r="L101" s="20"/>
      <c r="M101" s="20"/>
      <c r="N101" s="20"/>
      <c r="O101" s="21"/>
    </row>
    <row r="102" spans="4:15" x14ac:dyDescent="0.25">
      <c r="D102" s="19"/>
      <c r="E102" s="20"/>
      <c r="F102" s="20"/>
      <c r="G102" s="20"/>
      <c r="H102" s="4" t="s">
        <v>10</v>
      </c>
      <c r="I102" s="5">
        <f>IF($F$9="Monthly",$F$10,0)</f>
        <v>11100.295724080675</v>
      </c>
      <c r="J102" s="5">
        <f t="shared" si="11"/>
        <v>929679.28997892397</v>
      </c>
      <c r="K102" s="6">
        <f t="shared" si="10"/>
        <v>6740.1748523471979</v>
      </c>
      <c r="L102" s="20"/>
      <c r="M102" s="20"/>
      <c r="N102" s="20"/>
      <c r="O102" s="21"/>
    </row>
    <row r="103" spans="4:15" x14ac:dyDescent="0.25">
      <c r="D103" s="19"/>
      <c r="E103" s="20"/>
      <c r="F103" s="20"/>
      <c r="G103" s="20"/>
      <c r="H103" s="4" t="s">
        <v>11</v>
      </c>
      <c r="I103" s="5">
        <f>IF(OR($F$9="Monthly",$F$9="Quarterly"),$F$10,0)</f>
        <v>11100.295724080675</v>
      </c>
      <c r="J103" s="5">
        <f t="shared" si="11"/>
        <v>940779.58570300462</v>
      </c>
      <c r="K103" s="6">
        <f t="shared" si="10"/>
        <v>6820.6519963467836</v>
      </c>
      <c r="L103" s="20"/>
      <c r="M103" s="20"/>
      <c r="N103" s="20"/>
      <c r="O103" s="21"/>
    </row>
    <row r="104" spans="4:15" x14ac:dyDescent="0.25">
      <c r="D104" s="19"/>
      <c r="E104" s="20"/>
      <c r="F104" s="20"/>
      <c r="G104" s="20"/>
      <c r="H104" s="4" t="s">
        <v>12</v>
      </c>
      <c r="I104" s="5">
        <f>IF($F$9="Monthly",$F$10,0)</f>
        <v>11100.295724080675</v>
      </c>
      <c r="J104" s="5">
        <f t="shared" si="11"/>
        <v>951879.88142708526</v>
      </c>
      <c r="K104" s="6">
        <f t="shared" si="10"/>
        <v>6901.1291403463683</v>
      </c>
      <c r="L104" s="20"/>
      <c r="M104" s="20"/>
      <c r="N104" s="20"/>
      <c r="O104" s="21"/>
    </row>
    <row r="105" spans="4:15" x14ac:dyDescent="0.25">
      <c r="D105" s="19"/>
      <c r="E105" s="20"/>
      <c r="F105" s="20"/>
      <c r="G105" s="20"/>
      <c r="H105" s="4" t="s">
        <v>13</v>
      </c>
      <c r="I105" s="5">
        <f>IF($F$9="Monthly",$F$10,0)</f>
        <v>11100.295724080675</v>
      </c>
      <c r="J105" s="5">
        <f t="shared" si="11"/>
        <v>962980.1771511659</v>
      </c>
      <c r="K105" s="6">
        <f t="shared" si="10"/>
        <v>6981.6062843459522</v>
      </c>
      <c r="L105" s="20"/>
      <c r="M105" s="20"/>
      <c r="N105" s="20"/>
      <c r="O105" s="21"/>
    </row>
    <row r="106" spans="4:15" x14ac:dyDescent="0.25">
      <c r="D106" s="19"/>
      <c r="E106" s="20"/>
      <c r="F106" s="20"/>
      <c r="G106" s="20"/>
      <c r="H106" s="7" t="s">
        <v>21</v>
      </c>
      <c r="I106" s="9"/>
      <c r="J106" s="9">
        <f>J105+SUM(K94:K105)</f>
        <v>1041447.9610593447</v>
      </c>
      <c r="K106" s="10"/>
      <c r="L106" s="20"/>
      <c r="M106" s="20"/>
      <c r="N106" s="20"/>
      <c r="O106" s="21"/>
    </row>
    <row r="107" spans="4:15" x14ac:dyDescent="0.25">
      <c r="D107" s="19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</row>
    <row r="108" spans="4:15" x14ac:dyDescent="0.25">
      <c r="D108" s="19"/>
      <c r="E108" s="20"/>
      <c r="F108" s="20"/>
      <c r="G108" s="20"/>
      <c r="H108" s="114" t="s">
        <v>23</v>
      </c>
      <c r="I108" s="115"/>
      <c r="J108" s="115"/>
      <c r="K108" s="116"/>
      <c r="L108" s="20"/>
      <c r="M108" s="20"/>
      <c r="N108" s="20"/>
      <c r="O108" s="21"/>
    </row>
    <row r="109" spans="4:15" x14ac:dyDescent="0.25">
      <c r="D109" s="19"/>
      <c r="E109" s="20"/>
      <c r="F109" s="20"/>
      <c r="G109" s="20"/>
      <c r="H109" s="1" t="s">
        <v>1</v>
      </c>
      <c r="I109" s="2" t="s">
        <v>14</v>
      </c>
      <c r="J109" s="2" t="s">
        <v>0</v>
      </c>
      <c r="K109" s="3" t="s">
        <v>15</v>
      </c>
      <c r="L109" s="20"/>
      <c r="M109" s="20"/>
      <c r="N109" s="20"/>
      <c r="O109" s="21"/>
    </row>
    <row r="110" spans="4:15" x14ac:dyDescent="0.25">
      <c r="D110" s="19"/>
      <c r="E110" s="20"/>
      <c r="F110" s="20"/>
      <c r="G110" s="20"/>
      <c r="H110" s="4" t="s">
        <v>2</v>
      </c>
      <c r="I110" s="5">
        <f>$F$10</f>
        <v>11100.295724080675</v>
      </c>
      <c r="J110" s="5">
        <f>I110+J106</f>
        <v>1052548.2567834253</v>
      </c>
      <c r="K110" s="6">
        <f t="shared" ref="K110:K121" si="12">J110*$K$9/12</f>
        <v>7630.9748616798324</v>
      </c>
      <c r="L110" s="20"/>
      <c r="M110" s="20"/>
      <c r="N110" s="20"/>
      <c r="O110" s="21"/>
    </row>
    <row r="111" spans="4:15" x14ac:dyDescent="0.25">
      <c r="D111" s="19"/>
      <c r="E111" s="20"/>
      <c r="F111" s="20"/>
      <c r="G111" s="20"/>
      <c r="H111" s="4" t="s">
        <v>3</v>
      </c>
      <c r="I111" s="5">
        <f>IF($F$9="Monthly",$F$10,0)</f>
        <v>11100.295724080675</v>
      </c>
      <c r="J111" s="5">
        <f>I111+J110</f>
        <v>1063648.552507506</v>
      </c>
      <c r="K111" s="6">
        <f t="shared" si="12"/>
        <v>7711.4520056794181</v>
      </c>
      <c r="L111" s="20"/>
      <c r="M111" s="20"/>
      <c r="N111" s="20"/>
      <c r="O111" s="21"/>
    </row>
    <row r="112" spans="4:15" x14ac:dyDescent="0.25">
      <c r="D112" s="19"/>
      <c r="E112" s="20"/>
      <c r="F112" s="20"/>
      <c r="G112" s="20"/>
      <c r="H112" s="4" t="s">
        <v>4</v>
      </c>
      <c r="I112" s="5">
        <f>IF($F$9="Monthly",$F$10,0)</f>
        <v>11100.295724080675</v>
      </c>
      <c r="J112" s="5">
        <f t="shared" ref="J112:J121" si="13">I112+J111</f>
        <v>1074748.8482315866</v>
      </c>
      <c r="K112" s="6">
        <f t="shared" si="12"/>
        <v>7791.9291496790029</v>
      </c>
      <c r="L112" s="20"/>
      <c r="M112" s="20"/>
      <c r="N112" s="20"/>
      <c r="O112" s="21"/>
    </row>
    <row r="113" spans="4:15" x14ac:dyDescent="0.25">
      <c r="D113" s="19"/>
      <c r="E113" s="20"/>
      <c r="F113" s="20"/>
      <c r="G113" s="20"/>
      <c r="H113" s="4" t="s">
        <v>5</v>
      </c>
      <c r="I113" s="5">
        <f>IF(OR($F$9="Monthly",$F$9="Quarterly"),$F$10,0)</f>
        <v>11100.295724080675</v>
      </c>
      <c r="J113" s="5">
        <f t="shared" si="13"/>
        <v>1085849.1439556673</v>
      </c>
      <c r="K113" s="6">
        <f t="shared" si="12"/>
        <v>7872.4062936785876</v>
      </c>
      <c r="L113" s="20"/>
      <c r="M113" s="20"/>
      <c r="N113" s="20"/>
      <c r="O113" s="21"/>
    </row>
    <row r="114" spans="4:15" x14ac:dyDescent="0.25">
      <c r="D114" s="19"/>
      <c r="E114" s="20"/>
      <c r="F114" s="20"/>
      <c r="G114" s="20"/>
      <c r="H114" s="4" t="s">
        <v>6</v>
      </c>
      <c r="I114" s="5">
        <f>IF($F$9="Monthly",$F$10,0)</f>
        <v>11100.295724080675</v>
      </c>
      <c r="J114" s="5">
        <f t="shared" si="13"/>
        <v>1096949.4396797479</v>
      </c>
      <c r="K114" s="6">
        <f t="shared" si="12"/>
        <v>7952.8834376781715</v>
      </c>
      <c r="L114" s="20"/>
      <c r="M114" s="20"/>
      <c r="N114" s="20"/>
      <c r="O114" s="21"/>
    </row>
    <row r="115" spans="4:15" x14ac:dyDescent="0.25">
      <c r="D115" s="19"/>
      <c r="E115" s="20"/>
      <c r="F115" s="20"/>
      <c r="G115" s="20"/>
      <c r="H115" s="4" t="s">
        <v>7</v>
      </c>
      <c r="I115" s="5">
        <f>IF($F$9="Monthly",$F$10,0)</f>
        <v>11100.295724080675</v>
      </c>
      <c r="J115" s="5">
        <f t="shared" si="13"/>
        <v>1108049.7354038286</v>
      </c>
      <c r="K115" s="6">
        <f t="shared" si="12"/>
        <v>8033.3605816777563</v>
      </c>
      <c r="L115" s="20"/>
      <c r="M115" s="20"/>
      <c r="N115" s="20"/>
      <c r="O115" s="21"/>
    </row>
    <row r="116" spans="4:15" x14ac:dyDescent="0.25">
      <c r="D116" s="19"/>
      <c r="E116" s="20"/>
      <c r="F116" s="20"/>
      <c r="G116" s="20"/>
      <c r="H116" s="4" t="s">
        <v>8</v>
      </c>
      <c r="I116" s="5">
        <f>IF($F$9&lt;&gt;"Annual",$F$10,0)</f>
        <v>11100.295724080675</v>
      </c>
      <c r="J116" s="5">
        <f t="shared" si="13"/>
        <v>1119150.0311279092</v>
      </c>
      <c r="K116" s="6">
        <f t="shared" si="12"/>
        <v>8113.837725677341</v>
      </c>
      <c r="L116" s="20"/>
      <c r="M116" s="20"/>
      <c r="N116" s="20"/>
      <c r="O116" s="21"/>
    </row>
    <row r="117" spans="4:15" x14ac:dyDescent="0.25">
      <c r="D117" s="19"/>
      <c r="E117" s="20"/>
      <c r="F117" s="20"/>
      <c r="G117" s="20"/>
      <c r="H117" s="4" t="s">
        <v>9</v>
      </c>
      <c r="I117" s="5">
        <f>IF($F$9="Monthly",$F$10,0)</f>
        <v>11100.295724080675</v>
      </c>
      <c r="J117" s="5">
        <f t="shared" si="13"/>
        <v>1130250.3268519898</v>
      </c>
      <c r="K117" s="6">
        <f t="shared" si="12"/>
        <v>8194.3148696769258</v>
      </c>
      <c r="L117" s="20"/>
      <c r="M117" s="20"/>
      <c r="N117" s="20"/>
      <c r="O117" s="21"/>
    </row>
    <row r="118" spans="4:15" x14ac:dyDescent="0.25">
      <c r="D118" s="19"/>
      <c r="E118" s="20"/>
      <c r="F118" s="20"/>
      <c r="G118" s="20"/>
      <c r="H118" s="4" t="s">
        <v>10</v>
      </c>
      <c r="I118" s="5">
        <f>IF($F$9="Monthly",$F$10,0)</f>
        <v>11100.295724080675</v>
      </c>
      <c r="J118" s="5">
        <f t="shared" si="13"/>
        <v>1141350.6225760705</v>
      </c>
      <c r="K118" s="6">
        <f t="shared" si="12"/>
        <v>8274.7920136765115</v>
      </c>
      <c r="L118" s="20"/>
      <c r="M118" s="20"/>
      <c r="N118" s="20"/>
      <c r="O118" s="21"/>
    </row>
    <row r="119" spans="4:15" x14ac:dyDescent="0.25">
      <c r="D119" s="19"/>
      <c r="E119" s="20"/>
      <c r="F119" s="20"/>
      <c r="G119" s="20"/>
      <c r="H119" s="4" t="s">
        <v>11</v>
      </c>
      <c r="I119" s="5">
        <f>IF(OR($F$9="Monthly",$F$9="Quarterly"),$F$10,0)</f>
        <v>11100.295724080675</v>
      </c>
      <c r="J119" s="5">
        <f t="shared" si="13"/>
        <v>1152450.9183001511</v>
      </c>
      <c r="K119" s="6">
        <f t="shared" si="12"/>
        <v>8355.2691576760953</v>
      </c>
      <c r="L119" s="20"/>
      <c r="M119" s="20"/>
      <c r="N119" s="20"/>
      <c r="O119" s="21"/>
    </row>
    <row r="120" spans="4:15" x14ac:dyDescent="0.25">
      <c r="D120" s="19"/>
      <c r="E120" s="20"/>
      <c r="F120" s="20"/>
      <c r="G120" s="20"/>
      <c r="H120" s="4" t="s">
        <v>12</v>
      </c>
      <c r="I120" s="5">
        <f>IF($F$9="Monthly",$F$10,0)</f>
        <v>11100.295724080675</v>
      </c>
      <c r="J120" s="5">
        <f t="shared" si="13"/>
        <v>1163551.2140242318</v>
      </c>
      <c r="K120" s="6">
        <f t="shared" si="12"/>
        <v>8435.7463016756792</v>
      </c>
      <c r="L120" s="20"/>
      <c r="M120" s="20"/>
      <c r="N120" s="20"/>
      <c r="O120" s="21"/>
    </row>
    <row r="121" spans="4:15" x14ac:dyDescent="0.25">
      <c r="D121" s="19"/>
      <c r="E121" s="20"/>
      <c r="F121" s="20"/>
      <c r="G121" s="20"/>
      <c r="H121" s="4" t="s">
        <v>13</v>
      </c>
      <c r="I121" s="5">
        <f>IF($F$9="Monthly",$F$10,0)</f>
        <v>11100.295724080675</v>
      </c>
      <c r="J121" s="5">
        <f t="shared" si="13"/>
        <v>1174651.5097483124</v>
      </c>
      <c r="K121" s="6">
        <f t="shared" si="12"/>
        <v>8516.2234456752649</v>
      </c>
      <c r="L121" s="20"/>
      <c r="M121" s="20"/>
      <c r="N121" s="20"/>
      <c r="O121" s="21"/>
    </row>
    <row r="122" spans="4:15" x14ac:dyDescent="0.25">
      <c r="D122" s="19"/>
      <c r="E122" s="20"/>
      <c r="F122" s="20"/>
      <c r="G122" s="20"/>
      <c r="H122" s="7" t="s">
        <v>21</v>
      </c>
      <c r="I122" s="9"/>
      <c r="J122" s="9">
        <f>J121+SUM(K110:K121)</f>
        <v>1271534.699592443</v>
      </c>
      <c r="K122" s="10"/>
      <c r="L122" s="20"/>
      <c r="M122" s="20"/>
      <c r="N122" s="20"/>
      <c r="O122" s="21"/>
    </row>
    <row r="123" spans="4:15" x14ac:dyDescent="0.25">
      <c r="D123" s="19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1"/>
    </row>
    <row r="124" spans="4:15" x14ac:dyDescent="0.25">
      <c r="D124" s="19"/>
      <c r="E124" s="20"/>
      <c r="F124" s="20"/>
      <c r="G124" s="20"/>
      <c r="H124" s="114" t="s">
        <v>24</v>
      </c>
      <c r="I124" s="115"/>
      <c r="J124" s="115"/>
      <c r="K124" s="116"/>
      <c r="L124" s="20"/>
      <c r="M124" s="20"/>
      <c r="N124" s="20"/>
      <c r="O124" s="21"/>
    </row>
    <row r="125" spans="4:15" x14ac:dyDescent="0.25">
      <c r="D125" s="19"/>
      <c r="E125" s="20"/>
      <c r="F125" s="20"/>
      <c r="G125" s="20"/>
      <c r="H125" s="1" t="s">
        <v>1</v>
      </c>
      <c r="I125" s="2" t="s">
        <v>14</v>
      </c>
      <c r="J125" s="2" t="s">
        <v>0</v>
      </c>
      <c r="K125" s="3" t="s">
        <v>15</v>
      </c>
      <c r="L125" s="20"/>
      <c r="M125" s="20"/>
      <c r="N125" s="20"/>
      <c r="O125" s="21"/>
    </row>
    <row r="126" spans="4:15" x14ac:dyDescent="0.25">
      <c r="D126" s="19"/>
      <c r="E126" s="20"/>
      <c r="F126" s="20"/>
      <c r="G126" s="20"/>
      <c r="H126" s="4" t="s">
        <v>2</v>
      </c>
      <c r="I126" s="5">
        <f>$F$10</f>
        <v>11100.295724080675</v>
      </c>
      <c r="J126" s="5">
        <f>I126+J122</f>
        <v>1282634.9953165236</v>
      </c>
      <c r="K126" s="6">
        <f t="shared" ref="K126:K137" si="14">J126*$K$9/12</f>
        <v>9299.1037160447959</v>
      </c>
      <c r="L126" s="20"/>
      <c r="M126" s="20"/>
      <c r="N126" s="20"/>
      <c r="O126" s="21"/>
    </row>
    <row r="127" spans="4:15" x14ac:dyDescent="0.25">
      <c r="D127" s="19"/>
      <c r="E127" s="20"/>
      <c r="F127" s="20"/>
      <c r="G127" s="20"/>
      <c r="H127" s="4" t="s">
        <v>3</v>
      </c>
      <c r="I127" s="5">
        <f>IF($F$9="Monthly",$F$10,0)</f>
        <v>11100.295724080675</v>
      </c>
      <c r="J127" s="5">
        <f>I127+J126</f>
        <v>1293735.2910406042</v>
      </c>
      <c r="K127" s="6">
        <f t="shared" si="14"/>
        <v>9379.5808600443797</v>
      </c>
      <c r="L127" s="20"/>
      <c r="M127" s="20"/>
      <c r="N127" s="20"/>
      <c r="O127" s="21"/>
    </row>
    <row r="128" spans="4:15" x14ac:dyDescent="0.25">
      <c r="D128" s="19"/>
      <c r="E128" s="20"/>
      <c r="F128" s="20"/>
      <c r="G128" s="20"/>
      <c r="H128" s="4" t="s">
        <v>4</v>
      </c>
      <c r="I128" s="5">
        <f>IF($F$9="Monthly",$F$10,0)</f>
        <v>11100.295724080675</v>
      </c>
      <c r="J128" s="5">
        <f t="shared" ref="J128:J137" si="15">I128+J127</f>
        <v>1304835.5867646849</v>
      </c>
      <c r="K128" s="6">
        <f t="shared" si="14"/>
        <v>9460.0580040439654</v>
      </c>
      <c r="L128" s="20"/>
      <c r="M128" s="20"/>
      <c r="N128" s="20"/>
      <c r="O128" s="21"/>
    </row>
    <row r="129" spans="4:15" x14ac:dyDescent="0.25">
      <c r="D129" s="19"/>
      <c r="E129" s="20"/>
      <c r="F129" s="20"/>
      <c r="G129" s="20"/>
      <c r="H129" s="4" t="s">
        <v>5</v>
      </c>
      <c r="I129" s="5">
        <f>IF(OR($F$9="Monthly",$F$9="Quarterly"),$F$10,0)</f>
        <v>11100.295724080675</v>
      </c>
      <c r="J129" s="5">
        <f t="shared" si="15"/>
        <v>1315935.8824887655</v>
      </c>
      <c r="K129" s="6">
        <f t="shared" si="14"/>
        <v>9540.5351480435493</v>
      </c>
      <c r="L129" s="20"/>
      <c r="M129" s="20"/>
      <c r="N129" s="20"/>
      <c r="O129" s="21"/>
    </row>
    <row r="130" spans="4:15" x14ac:dyDescent="0.25">
      <c r="D130" s="19"/>
      <c r="E130" s="20"/>
      <c r="F130" s="20"/>
      <c r="G130" s="20"/>
      <c r="H130" s="4" t="s">
        <v>6</v>
      </c>
      <c r="I130" s="5">
        <f>IF($F$9="Monthly",$F$10,0)</f>
        <v>11100.295724080675</v>
      </c>
      <c r="J130" s="5">
        <f t="shared" si="15"/>
        <v>1327036.1782128462</v>
      </c>
      <c r="K130" s="6">
        <f t="shared" si="14"/>
        <v>9621.0122920431331</v>
      </c>
      <c r="L130" s="20"/>
      <c r="M130" s="20"/>
      <c r="N130" s="20"/>
      <c r="O130" s="21"/>
    </row>
    <row r="131" spans="4:15" x14ac:dyDescent="0.25">
      <c r="D131" s="19"/>
      <c r="E131" s="20"/>
      <c r="F131" s="20"/>
      <c r="G131" s="20"/>
      <c r="H131" s="4" t="s">
        <v>7</v>
      </c>
      <c r="I131" s="5">
        <f>IF($F$9="Monthly",$F$10,0)</f>
        <v>11100.295724080675</v>
      </c>
      <c r="J131" s="5">
        <f t="shared" si="15"/>
        <v>1338136.4739369268</v>
      </c>
      <c r="K131" s="6">
        <f t="shared" si="14"/>
        <v>9701.4894360427188</v>
      </c>
      <c r="L131" s="20"/>
      <c r="M131" s="20"/>
      <c r="N131" s="20"/>
      <c r="O131" s="21"/>
    </row>
    <row r="132" spans="4:15" x14ac:dyDescent="0.25">
      <c r="D132" s="19"/>
      <c r="E132" s="20"/>
      <c r="F132" s="20"/>
      <c r="G132" s="20"/>
      <c r="H132" s="4" t="s">
        <v>8</v>
      </c>
      <c r="I132" s="5">
        <f>IF($F$9&lt;&gt;"Annual",$F$10,0)</f>
        <v>11100.295724080675</v>
      </c>
      <c r="J132" s="5">
        <f t="shared" si="15"/>
        <v>1349236.7696610074</v>
      </c>
      <c r="K132" s="6">
        <f t="shared" si="14"/>
        <v>9781.9665800423045</v>
      </c>
      <c r="L132" s="20"/>
      <c r="M132" s="20"/>
      <c r="N132" s="20"/>
      <c r="O132" s="21"/>
    </row>
    <row r="133" spans="4:15" x14ac:dyDescent="0.25">
      <c r="D133" s="19"/>
      <c r="E133" s="20"/>
      <c r="F133" s="20"/>
      <c r="G133" s="20"/>
      <c r="H133" s="4" t="s">
        <v>9</v>
      </c>
      <c r="I133" s="5">
        <f>IF($F$9="Monthly",$F$10,0)</f>
        <v>11100.295724080675</v>
      </c>
      <c r="J133" s="5">
        <f t="shared" si="15"/>
        <v>1360337.0653850881</v>
      </c>
      <c r="K133" s="6">
        <f t="shared" si="14"/>
        <v>9862.4437240418883</v>
      </c>
      <c r="L133" s="20"/>
      <c r="M133" s="20"/>
      <c r="N133" s="20"/>
      <c r="O133" s="21"/>
    </row>
    <row r="134" spans="4:15" x14ac:dyDescent="0.25">
      <c r="D134" s="19"/>
      <c r="E134" s="20"/>
      <c r="F134" s="20"/>
      <c r="G134" s="20"/>
      <c r="H134" s="4" t="s">
        <v>10</v>
      </c>
      <c r="I134" s="5">
        <f>IF($F$9="Monthly",$F$10,0)</f>
        <v>11100.295724080675</v>
      </c>
      <c r="J134" s="5">
        <f t="shared" si="15"/>
        <v>1371437.3611091687</v>
      </c>
      <c r="K134" s="6">
        <f t="shared" si="14"/>
        <v>9942.9208680414722</v>
      </c>
      <c r="L134" s="20"/>
      <c r="M134" s="20"/>
      <c r="N134" s="20"/>
      <c r="O134" s="21"/>
    </row>
    <row r="135" spans="4:15" x14ac:dyDescent="0.25">
      <c r="D135" s="19"/>
      <c r="E135" s="20"/>
      <c r="F135" s="20"/>
      <c r="G135" s="20"/>
      <c r="H135" s="4" t="s">
        <v>11</v>
      </c>
      <c r="I135" s="5">
        <f>IF(OR($F$9="Monthly",$F$9="Quarterly"),$F$10,0)</f>
        <v>11100.295724080675</v>
      </c>
      <c r="J135" s="5">
        <f t="shared" si="15"/>
        <v>1382537.6568332494</v>
      </c>
      <c r="K135" s="6">
        <f t="shared" si="14"/>
        <v>10023.398012041058</v>
      </c>
      <c r="L135" s="20"/>
      <c r="M135" s="20"/>
      <c r="N135" s="20"/>
      <c r="O135" s="21"/>
    </row>
    <row r="136" spans="4:15" x14ac:dyDescent="0.25">
      <c r="D136" s="19"/>
      <c r="E136" s="20"/>
      <c r="F136" s="20"/>
      <c r="G136" s="20"/>
      <c r="H136" s="4" t="s">
        <v>12</v>
      </c>
      <c r="I136" s="5">
        <f>IF($F$9="Monthly",$F$10,0)</f>
        <v>11100.295724080675</v>
      </c>
      <c r="J136" s="5">
        <f t="shared" si="15"/>
        <v>1393637.95255733</v>
      </c>
      <c r="K136" s="6">
        <f t="shared" si="14"/>
        <v>10103.875156040642</v>
      </c>
      <c r="L136" s="20"/>
      <c r="M136" s="20"/>
      <c r="N136" s="20"/>
      <c r="O136" s="21"/>
    </row>
    <row r="137" spans="4:15" x14ac:dyDescent="0.25">
      <c r="D137" s="19"/>
      <c r="E137" s="20"/>
      <c r="F137" s="20"/>
      <c r="G137" s="20"/>
      <c r="H137" s="4" t="s">
        <v>13</v>
      </c>
      <c r="I137" s="5">
        <f>IF($F$9="Monthly",$F$10,0)</f>
        <v>11100.295724080675</v>
      </c>
      <c r="J137" s="5">
        <f t="shared" si="15"/>
        <v>1404738.2482814107</v>
      </c>
      <c r="K137" s="6">
        <f t="shared" si="14"/>
        <v>10184.352300040226</v>
      </c>
      <c r="L137" s="20"/>
      <c r="M137" s="20"/>
      <c r="N137" s="20"/>
      <c r="O137" s="21"/>
    </row>
    <row r="138" spans="4:15" x14ac:dyDescent="0.25">
      <c r="D138" s="19"/>
      <c r="E138" s="20"/>
      <c r="F138" s="20"/>
      <c r="G138" s="20"/>
      <c r="H138" s="7" t="s">
        <v>21</v>
      </c>
      <c r="I138" s="9"/>
      <c r="J138" s="9">
        <f>J137+SUM(K126:K137)</f>
        <v>1521638.9843779209</v>
      </c>
      <c r="K138" s="10"/>
      <c r="L138" s="20"/>
      <c r="M138" s="20"/>
      <c r="N138" s="20"/>
      <c r="O138" s="21"/>
    </row>
    <row r="139" spans="4:15" x14ac:dyDescent="0.25">
      <c r="D139" s="19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1"/>
    </row>
    <row r="140" spans="4:15" x14ac:dyDescent="0.25">
      <c r="D140" s="19"/>
      <c r="E140" s="20"/>
      <c r="F140" s="20"/>
      <c r="G140" s="20"/>
      <c r="H140" s="114" t="s">
        <v>25</v>
      </c>
      <c r="I140" s="115"/>
      <c r="J140" s="115"/>
      <c r="K140" s="116"/>
      <c r="L140" s="20"/>
      <c r="M140" s="20"/>
      <c r="N140" s="20"/>
      <c r="O140" s="21"/>
    </row>
    <row r="141" spans="4:15" x14ac:dyDescent="0.25">
      <c r="D141" s="19"/>
      <c r="E141" s="20"/>
      <c r="F141" s="20"/>
      <c r="G141" s="20"/>
      <c r="H141" s="1" t="s">
        <v>1</v>
      </c>
      <c r="I141" s="2" t="s">
        <v>14</v>
      </c>
      <c r="J141" s="2" t="s">
        <v>0</v>
      </c>
      <c r="K141" s="3" t="s">
        <v>15</v>
      </c>
      <c r="L141" s="20"/>
      <c r="M141" s="20"/>
      <c r="N141" s="20"/>
      <c r="O141" s="21"/>
    </row>
    <row r="142" spans="4:15" x14ac:dyDescent="0.25">
      <c r="D142" s="19"/>
      <c r="E142" s="20"/>
      <c r="F142" s="20"/>
      <c r="G142" s="20"/>
      <c r="H142" s="4" t="s">
        <v>2</v>
      </c>
      <c r="I142" s="5">
        <f>$F$10</f>
        <v>11100.295724080675</v>
      </c>
      <c r="J142" s="5">
        <f>I142+J138</f>
        <v>1532739.2801020015</v>
      </c>
      <c r="K142" s="6">
        <f t="shared" ref="K142:K153" si="16">J142*$K$9/12</f>
        <v>11112.359780739511</v>
      </c>
      <c r="L142" s="20"/>
      <c r="M142" s="20"/>
      <c r="N142" s="20"/>
      <c r="O142" s="21"/>
    </row>
    <row r="143" spans="4:15" x14ac:dyDescent="0.25">
      <c r="D143" s="19"/>
      <c r="E143" s="20"/>
      <c r="F143" s="20"/>
      <c r="G143" s="20"/>
      <c r="H143" s="4" t="s">
        <v>3</v>
      </c>
      <c r="I143" s="5">
        <f>IF($F$9="Monthly",$F$10,0)</f>
        <v>11100.295724080675</v>
      </c>
      <c r="J143" s="5">
        <f>I143+J142</f>
        <v>1543839.5758260821</v>
      </c>
      <c r="K143" s="6">
        <f t="shared" si="16"/>
        <v>11192.836924739095</v>
      </c>
      <c r="L143" s="20"/>
      <c r="M143" s="20"/>
      <c r="N143" s="20"/>
      <c r="O143" s="21"/>
    </row>
    <row r="144" spans="4:15" x14ac:dyDescent="0.25">
      <c r="D144" s="19"/>
      <c r="E144" s="20"/>
      <c r="F144" s="20"/>
      <c r="G144" s="20"/>
      <c r="H144" s="4" t="s">
        <v>4</v>
      </c>
      <c r="I144" s="5">
        <f>IF($F$9="Monthly",$F$10,0)</f>
        <v>11100.295724080675</v>
      </c>
      <c r="J144" s="5">
        <f t="shared" ref="J144:J153" si="17">I144+J143</f>
        <v>1554939.8715501628</v>
      </c>
      <c r="K144" s="6">
        <f t="shared" si="16"/>
        <v>11273.314068738679</v>
      </c>
      <c r="L144" s="20"/>
      <c r="M144" s="20"/>
      <c r="N144" s="20"/>
      <c r="O144" s="21"/>
    </row>
    <row r="145" spans="4:15" x14ac:dyDescent="0.25">
      <c r="D145" s="19"/>
      <c r="E145" s="20"/>
      <c r="F145" s="20"/>
      <c r="G145" s="20"/>
      <c r="H145" s="4" t="s">
        <v>5</v>
      </c>
      <c r="I145" s="5">
        <f>IF(OR($F$9="Monthly",$F$9="Quarterly"),$F$10,0)</f>
        <v>11100.295724080675</v>
      </c>
      <c r="J145" s="5">
        <f t="shared" si="17"/>
        <v>1566040.1672742434</v>
      </c>
      <c r="K145" s="6">
        <f t="shared" si="16"/>
        <v>11353.791212738264</v>
      </c>
      <c r="L145" s="20"/>
      <c r="M145" s="20"/>
      <c r="N145" s="20"/>
      <c r="O145" s="21"/>
    </row>
    <row r="146" spans="4:15" x14ac:dyDescent="0.25">
      <c r="D146" s="19"/>
      <c r="E146" s="20"/>
      <c r="F146" s="20"/>
      <c r="G146" s="20"/>
      <c r="H146" s="4" t="s">
        <v>6</v>
      </c>
      <c r="I146" s="5">
        <f>IF($F$9="Monthly",$F$10,0)</f>
        <v>11100.295724080675</v>
      </c>
      <c r="J146" s="5">
        <f t="shared" si="17"/>
        <v>1577140.4629983241</v>
      </c>
      <c r="K146" s="6">
        <f t="shared" si="16"/>
        <v>11434.268356737848</v>
      </c>
      <c r="L146" s="20"/>
      <c r="M146" s="20"/>
      <c r="N146" s="20"/>
      <c r="O146" s="21"/>
    </row>
    <row r="147" spans="4:15" x14ac:dyDescent="0.25">
      <c r="D147" s="19"/>
      <c r="E147" s="20"/>
      <c r="F147" s="20"/>
      <c r="G147" s="20"/>
      <c r="H147" s="4" t="s">
        <v>7</v>
      </c>
      <c r="I147" s="5">
        <f>IF($F$9="Monthly",$F$10,0)</f>
        <v>11100.295724080675</v>
      </c>
      <c r="J147" s="5">
        <f t="shared" si="17"/>
        <v>1588240.7587224047</v>
      </c>
      <c r="K147" s="6">
        <f t="shared" si="16"/>
        <v>11514.745500737432</v>
      </c>
      <c r="L147" s="20"/>
      <c r="M147" s="20"/>
      <c r="N147" s="20"/>
      <c r="O147" s="21"/>
    </row>
    <row r="148" spans="4:15" x14ac:dyDescent="0.25">
      <c r="D148" s="19"/>
      <c r="E148" s="20"/>
      <c r="F148" s="20"/>
      <c r="G148" s="20"/>
      <c r="H148" s="4" t="s">
        <v>8</v>
      </c>
      <c r="I148" s="5">
        <f>IF($F$9&lt;&gt;"Annual",$F$10,0)</f>
        <v>11100.295724080675</v>
      </c>
      <c r="J148" s="5">
        <f t="shared" si="17"/>
        <v>1599341.0544464854</v>
      </c>
      <c r="K148" s="6">
        <f t="shared" si="16"/>
        <v>11595.222644737018</v>
      </c>
      <c r="L148" s="20"/>
      <c r="M148" s="20"/>
      <c r="N148" s="20"/>
      <c r="O148" s="21"/>
    </row>
    <row r="149" spans="4:15" x14ac:dyDescent="0.25">
      <c r="D149" s="19"/>
      <c r="E149" s="20"/>
      <c r="F149" s="20"/>
      <c r="G149" s="20"/>
      <c r="H149" s="4" t="s">
        <v>9</v>
      </c>
      <c r="I149" s="5">
        <f>IF($F$9="Monthly",$F$10,0)</f>
        <v>11100.295724080675</v>
      </c>
      <c r="J149" s="5">
        <f t="shared" si="17"/>
        <v>1610441.350170566</v>
      </c>
      <c r="K149" s="6">
        <f t="shared" si="16"/>
        <v>11675.699788736603</v>
      </c>
      <c r="L149" s="20"/>
      <c r="M149" s="20"/>
      <c r="N149" s="20"/>
      <c r="O149" s="21"/>
    </row>
    <row r="150" spans="4:15" x14ac:dyDescent="0.25">
      <c r="D150" s="19"/>
      <c r="E150" s="20"/>
      <c r="F150" s="20"/>
      <c r="G150" s="20"/>
      <c r="H150" s="4" t="s">
        <v>10</v>
      </c>
      <c r="I150" s="5">
        <f>IF($F$9="Monthly",$F$10,0)</f>
        <v>11100.295724080675</v>
      </c>
      <c r="J150" s="5">
        <f t="shared" si="17"/>
        <v>1621541.6458946466</v>
      </c>
      <c r="K150" s="6">
        <f t="shared" si="16"/>
        <v>11756.176932736189</v>
      </c>
      <c r="L150" s="20"/>
      <c r="M150" s="20"/>
      <c r="N150" s="20"/>
      <c r="O150" s="21"/>
    </row>
    <row r="151" spans="4:15" x14ac:dyDescent="0.25">
      <c r="D151" s="19"/>
      <c r="E151" s="20"/>
      <c r="F151" s="20"/>
      <c r="G151" s="20"/>
      <c r="H151" s="4" t="s">
        <v>11</v>
      </c>
      <c r="I151" s="5">
        <f>IF(OR($F$9="Monthly",$F$9="Quarterly"),$F$10,0)</f>
        <v>11100.295724080675</v>
      </c>
      <c r="J151" s="5">
        <f t="shared" si="17"/>
        <v>1632641.9416187273</v>
      </c>
      <c r="K151" s="6">
        <f t="shared" si="16"/>
        <v>11836.654076735773</v>
      </c>
      <c r="L151" s="20"/>
      <c r="M151" s="20"/>
      <c r="N151" s="20"/>
      <c r="O151" s="21"/>
    </row>
    <row r="152" spans="4:15" x14ac:dyDescent="0.25">
      <c r="D152" s="19"/>
      <c r="E152" s="20"/>
      <c r="F152" s="20"/>
      <c r="G152" s="20"/>
      <c r="H152" s="4" t="s">
        <v>12</v>
      </c>
      <c r="I152" s="5">
        <f>IF($F$9="Monthly",$F$10,0)</f>
        <v>11100.295724080675</v>
      </c>
      <c r="J152" s="5">
        <f t="shared" si="17"/>
        <v>1643742.2373428079</v>
      </c>
      <c r="K152" s="6">
        <f t="shared" si="16"/>
        <v>11917.131220735357</v>
      </c>
      <c r="L152" s="20"/>
      <c r="M152" s="20"/>
      <c r="N152" s="20"/>
      <c r="O152" s="21"/>
    </row>
    <row r="153" spans="4:15" x14ac:dyDescent="0.25">
      <c r="D153" s="19"/>
      <c r="E153" s="20"/>
      <c r="F153" s="20"/>
      <c r="G153" s="20"/>
      <c r="H153" s="4" t="s">
        <v>13</v>
      </c>
      <c r="I153" s="5">
        <f>IF($F$9="Monthly",$F$10,0)</f>
        <v>11100.295724080675</v>
      </c>
      <c r="J153" s="5">
        <f t="shared" si="17"/>
        <v>1654842.5330668886</v>
      </c>
      <c r="K153" s="6">
        <f t="shared" si="16"/>
        <v>11997.608364734942</v>
      </c>
      <c r="L153" s="20"/>
      <c r="M153" s="20"/>
      <c r="N153" s="20"/>
      <c r="O153" s="21"/>
    </row>
    <row r="154" spans="4:15" x14ac:dyDescent="0.25">
      <c r="D154" s="19"/>
      <c r="E154" s="20"/>
      <c r="F154" s="20"/>
      <c r="G154" s="20"/>
      <c r="H154" s="7" t="s">
        <v>21</v>
      </c>
      <c r="I154" s="9"/>
      <c r="J154" s="9">
        <f>J153+SUM(K142:K153)</f>
        <v>1793502.3419397352</v>
      </c>
      <c r="K154" s="10"/>
      <c r="L154" s="20"/>
      <c r="M154" s="20"/>
      <c r="N154" s="20"/>
      <c r="O154" s="21"/>
    </row>
    <row r="155" spans="4:15" x14ac:dyDescent="0.25">
      <c r="D155" s="19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1"/>
    </row>
    <row r="156" spans="4:15" x14ac:dyDescent="0.25">
      <c r="D156" s="19"/>
      <c r="E156" s="20"/>
      <c r="F156" s="20"/>
      <c r="G156" s="20"/>
      <c r="H156" s="114" t="s">
        <v>26</v>
      </c>
      <c r="I156" s="115"/>
      <c r="J156" s="115"/>
      <c r="K156" s="116"/>
      <c r="L156" s="20"/>
      <c r="M156" s="20"/>
      <c r="N156" s="20"/>
      <c r="O156" s="21"/>
    </row>
    <row r="157" spans="4:15" x14ac:dyDescent="0.25">
      <c r="D157" s="19"/>
      <c r="E157" s="20"/>
      <c r="F157" s="20"/>
      <c r="G157" s="20"/>
      <c r="H157" s="1" t="s">
        <v>1</v>
      </c>
      <c r="I157" s="2" t="s">
        <v>14</v>
      </c>
      <c r="J157" s="2" t="s">
        <v>0</v>
      </c>
      <c r="K157" s="3" t="s">
        <v>15</v>
      </c>
      <c r="L157" s="20"/>
      <c r="M157" s="20"/>
      <c r="N157" s="20"/>
      <c r="O157" s="21"/>
    </row>
    <row r="158" spans="4:15" x14ac:dyDescent="0.25">
      <c r="D158" s="19"/>
      <c r="E158" s="20"/>
      <c r="F158" s="20"/>
      <c r="G158" s="20"/>
      <c r="H158" s="4" t="s">
        <v>2</v>
      </c>
      <c r="I158" s="5">
        <f>$F$10</f>
        <v>11100.295724080675</v>
      </c>
      <c r="J158" s="5">
        <f>I158+J154</f>
        <v>1804602.6376638159</v>
      </c>
      <c r="K158" s="6">
        <f t="shared" ref="K158:K169" si="18">J158*$K$9/12</f>
        <v>13083.369123062665</v>
      </c>
      <c r="L158" s="20"/>
      <c r="M158" s="20"/>
      <c r="N158" s="20"/>
      <c r="O158" s="21"/>
    </row>
    <row r="159" spans="4:15" x14ac:dyDescent="0.25">
      <c r="D159" s="19"/>
      <c r="E159" s="20"/>
      <c r="F159" s="20"/>
      <c r="G159" s="20"/>
      <c r="H159" s="4" t="s">
        <v>3</v>
      </c>
      <c r="I159" s="5">
        <f>IF($F$9="Monthly",$F$10,0)</f>
        <v>11100.295724080675</v>
      </c>
      <c r="J159" s="5">
        <f>I159+J158</f>
        <v>1815702.9333878965</v>
      </c>
      <c r="K159" s="6">
        <f t="shared" si="18"/>
        <v>13163.846267062248</v>
      </c>
      <c r="L159" s="20"/>
      <c r="M159" s="20"/>
      <c r="N159" s="20"/>
      <c r="O159" s="21"/>
    </row>
    <row r="160" spans="4:15" x14ac:dyDescent="0.25">
      <c r="D160" s="19"/>
      <c r="E160" s="20"/>
      <c r="F160" s="20"/>
      <c r="G160" s="20"/>
      <c r="H160" s="4" t="s">
        <v>4</v>
      </c>
      <c r="I160" s="5">
        <f>IF($F$9="Monthly",$F$10,0)</f>
        <v>11100.295724080675</v>
      </c>
      <c r="J160" s="5">
        <f t="shared" ref="J160:J169" si="19">I160+J159</f>
        <v>1826803.2291119772</v>
      </c>
      <c r="K160" s="6">
        <f t="shared" si="18"/>
        <v>13244.323411061834</v>
      </c>
      <c r="L160" s="20"/>
      <c r="M160" s="20"/>
      <c r="N160" s="20"/>
      <c r="O160" s="21"/>
    </row>
    <row r="161" spans="4:15" x14ac:dyDescent="0.25">
      <c r="D161" s="19"/>
      <c r="E161" s="20"/>
      <c r="F161" s="20"/>
      <c r="G161" s="20"/>
      <c r="H161" s="4" t="s">
        <v>5</v>
      </c>
      <c r="I161" s="5">
        <f>IF(OR($F$9="Monthly",$F$9="Quarterly"),$F$10,0)</f>
        <v>11100.295724080675</v>
      </c>
      <c r="J161" s="5">
        <f t="shared" si="19"/>
        <v>1837903.5248360578</v>
      </c>
      <c r="K161" s="6">
        <f t="shared" si="18"/>
        <v>13324.800555061418</v>
      </c>
      <c r="L161" s="20"/>
      <c r="M161" s="20"/>
      <c r="N161" s="20"/>
      <c r="O161" s="21"/>
    </row>
    <row r="162" spans="4:15" x14ac:dyDescent="0.25">
      <c r="D162" s="19"/>
      <c r="E162" s="20"/>
      <c r="F162" s="20"/>
      <c r="G162" s="20"/>
      <c r="H162" s="4" t="s">
        <v>6</v>
      </c>
      <c r="I162" s="5">
        <f>IF($F$9="Monthly",$F$10,0)</f>
        <v>11100.295724080675</v>
      </c>
      <c r="J162" s="5">
        <f t="shared" si="19"/>
        <v>1849003.8205601384</v>
      </c>
      <c r="K162" s="6">
        <f t="shared" si="18"/>
        <v>13405.277699061002</v>
      </c>
      <c r="L162" s="20"/>
      <c r="M162" s="20"/>
      <c r="N162" s="20"/>
      <c r="O162" s="21"/>
    </row>
    <row r="163" spans="4:15" x14ac:dyDescent="0.25">
      <c r="D163" s="19"/>
      <c r="E163" s="20"/>
      <c r="F163" s="20"/>
      <c r="G163" s="20"/>
      <c r="H163" s="4" t="s">
        <v>7</v>
      </c>
      <c r="I163" s="5">
        <f>IF($F$9="Monthly",$F$10,0)</f>
        <v>11100.295724080675</v>
      </c>
      <c r="J163" s="5">
        <f t="shared" si="19"/>
        <v>1860104.1162842191</v>
      </c>
      <c r="K163" s="6">
        <f t="shared" si="18"/>
        <v>13485.754843060588</v>
      </c>
      <c r="L163" s="20"/>
      <c r="M163" s="20"/>
      <c r="N163" s="20"/>
      <c r="O163" s="21"/>
    </row>
    <row r="164" spans="4:15" x14ac:dyDescent="0.25">
      <c r="D164" s="19"/>
      <c r="E164" s="20"/>
      <c r="F164" s="20"/>
      <c r="G164" s="20"/>
      <c r="H164" s="4" t="s">
        <v>8</v>
      </c>
      <c r="I164" s="5">
        <f>IF($F$9&lt;&gt;"Annual",$F$10,0)</f>
        <v>11100.295724080675</v>
      </c>
      <c r="J164" s="5">
        <f t="shared" si="19"/>
        <v>1871204.4120082997</v>
      </c>
      <c r="K164" s="6">
        <f t="shared" si="18"/>
        <v>13566.231987060171</v>
      </c>
      <c r="L164" s="20"/>
      <c r="M164" s="20"/>
      <c r="N164" s="20"/>
      <c r="O164" s="21"/>
    </row>
    <row r="165" spans="4:15" x14ac:dyDescent="0.25">
      <c r="D165" s="19"/>
      <c r="E165" s="20"/>
      <c r="F165" s="20"/>
      <c r="G165" s="20"/>
      <c r="H165" s="4" t="s">
        <v>9</v>
      </c>
      <c r="I165" s="5">
        <f>IF($F$9="Monthly",$F$10,0)</f>
        <v>11100.295724080675</v>
      </c>
      <c r="J165" s="5">
        <f t="shared" si="19"/>
        <v>1882304.7077323804</v>
      </c>
      <c r="K165" s="6">
        <f t="shared" si="18"/>
        <v>13646.709131059755</v>
      </c>
      <c r="L165" s="20"/>
      <c r="M165" s="20"/>
      <c r="N165" s="20"/>
      <c r="O165" s="21"/>
    </row>
    <row r="166" spans="4:15" x14ac:dyDescent="0.25">
      <c r="D166" s="19"/>
      <c r="E166" s="20"/>
      <c r="F166" s="20"/>
      <c r="G166" s="20"/>
      <c r="H166" s="4" t="s">
        <v>10</v>
      </c>
      <c r="I166" s="5">
        <f>IF($F$9="Monthly",$F$10,0)</f>
        <v>11100.295724080675</v>
      </c>
      <c r="J166" s="5">
        <f t="shared" si="19"/>
        <v>1893405.003456461</v>
      </c>
      <c r="K166" s="6">
        <f t="shared" si="18"/>
        <v>13727.186275059341</v>
      </c>
      <c r="L166" s="20"/>
      <c r="M166" s="20"/>
      <c r="N166" s="20"/>
      <c r="O166" s="21"/>
    </row>
    <row r="167" spans="4:15" x14ac:dyDescent="0.25">
      <c r="D167" s="19"/>
      <c r="E167" s="20"/>
      <c r="F167" s="20"/>
      <c r="G167" s="20"/>
      <c r="H167" s="4" t="s">
        <v>11</v>
      </c>
      <c r="I167" s="5">
        <f>IF(OR($F$9="Monthly",$F$9="Quarterly"),$F$10,0)</f>
        <v>11100.295724080675</v>
      </c>
      <c r="J167" s="5">
        <f t="shared" si="19"/>
        <v>1904505.2991805417</v>
      </c>
      <c r="K167" s="6">
        <f t="shared" si="18"/>
        <v>13807.663419058927</v>
      </c>
      <c r="L167" s="20"/>
      <c r="M167" s="20"/>
      <c r="N167" s="20"/>
      <c r="O167" s="21"/>
    </row>
    <row r="168" spans="4:15" x14ac:dyDescent="0.25">
      <c r="D168" s="19"/>
      <c r="E168" s="20"/>
      <c r="F168" s="20"/>
      <c r="G168" s="20"/>
      <c r="H168" s="4" t="s">
        <v>12</v>
      </c>
      <c r="I168" s="5">
        <f>IF($F$9="Monthly",$F$10,0)</f>
        <v>11100.295724080675</v>
      </c>
      <c r="J168" s="5">
        <f t="shared" si="19"/>
        <v>1915605.5949046223</v>
      </c>
      <c r="K168" s="6">
        <f t="shared" si="18"/>
        <v>13888.140563058512</v>
      </c>
      <c r="L168" s="20"/>
      <c r="M168" s="20"/>
      <c r="N168" s="20"/>
      <c r="O168" s="21"/>
    </row>
    <row r="169" spans="4:15" x14ac:dyDescent="0.25">
      <c r="D169" s="19"/>
      <c r="E169" s="20"/>
      <c r="F169" s="20"/>
      <c r="G169" s="20"/>
      <c r="H169" s="4" t="s">
        <v>13</v>
      </c>
      <c r="I169" s="5">
        <f>IF($F$9="Monthly",$F$10,0)</f>
        <v>11100.295724080675</v>
      </c>
      <c r="J169" s="5">
        <f t="shared" si="19"/>
        <v>1926705.8906287029</v>
      </c>
      <c r="K169" s="6">
        <f t="shared" si="18"/>
        <v>13968.617707058096</v>
      </c>
      <c r="L169" s="20"/>
      <c r="M169" s="20"/>
      <c r="N169" s="20"/>
      <c r="O169" s="21"/>
    </row>
    <row r="170" spans="4:15" x14ac:dyDescent="0.25">
      <c r="D170" s="19"/>
      <c r="E170" s="20"/>
      <c r="F170" s="20"/>
      <c r="G170" s="20"/>
      <c r="H170" s="7" t="s">
        <v>21</v>
      </c>
      <c r="I170" s="9"/>
      <c r="J170" s="9">
        <f>J169+SUM(K158:K169)</f>
        <v>2089017.8116094274</v>
      </c>
      <c r="K170" s="10"/>
      <c r="L170" s="20"/>
      <c r="M170" s="20"/>
      <c r="N170" s="20"/>
      <c r="O170" s="21"/>
    </row>
    <row r="171" spans="4:15" x14ac:dyDescent="0.25">
      <c r="D171" s="19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1"/>
    </row>
    <row r="172" spans="4:15" x14ac:dyDescent="0.25">
      <c r="D172" s="19"/>
      <c r="E172" s="20"/>
      <c r="F172" s="20"/>
      <c r="G172" s="20"/>
      <c r="H172" s="114" t="s">
        <v>27</v>
      </c>
      <c r="I172" s="115"/>
      <c r="J172" s="115"/>
      <c r="K172" s="116"/>
      <c r="L172" s="20"/>
      <c r="M172" s="20"/>
      <c r="N172" s="20"/>
      <c r="O172" s="21"/>
    </row>
    <row r="173" spans="4:15" x14ac:dyDescent="0.25">
      <c r="D173" s="19"/>
      <c r="E173" s="20"/>
      <c r="F173" s="20"/>
      <c r="G173" s="20"/>
      <c r="H173" s="1" t="s">
        <v>1</v>
      </c>
      <c r="I173" s="2" t="s">
        <v>14</v>
      </c>
      <c r="J173" s="2" t="s">
        <v>0</v>
      </c>
      <c r="K173" s="3" t="s">
        <v>15</v>
      </c>
      <c r="L173" s="20"/>
      <c r="M173" s="20"/>
      <c r="N173" s="20"/>
      <c r="O173" s="21"/>
    </row>
    <row r="174" spans="4:15" x14ac:dyDescent="0.25">
      <c r="D174" s="19"/>
      <c r="E174" s="20"/>
      <c r="F174" s="20"/>
      <c r="G174" s="20"/>
      <c r="H174" s="4" t="s">
        <v>2</v>
      </c>
      <c r="I174" s="5">
        <f>$F$10</f>
        <v>11100.295724080675</v>
      </c>
      <c r="J174" s="5">
        <f>I174+J170</f>
        <v>2100118.1073335083</v>
      </c>
      <c r="K174" s="6">
        <f t="shared" ref="K174:K185" si="20">J174*$K$9/12</f>
        <v>15225.856278167934</v>
      </c>
      <c r="L174" s="20"/>
      <c r="M174" s="20"/>
      <c r="N174" s="20"/>
      <c r="O174" s="21"/>
    </row>
    <row r="175" spans="4:15" x14ac:dyDescent="0.25">
      <c r="D175" s="19"/>
      <c r="E175" s="20"/>
      <c r="F175" s="20"/>
      <c r="G175" s="20"/>
      <c r="H175" s="4" t="s">
        <v>3</v>
      </c>
      <c r="I175" s="5">
        <f>IF($F$9="Monthly",$F$10,0)</f>
        <v>11100.295724080675</v>
      </c>
      <c r="J175" s="5">
        <f>I175+J174</f>
        <v>2111218.4030575892</v>
      </c>
      <c r="K175" s="6">
        <f t="shared" si="20"/>
        <v>15306.33342216752</v>
      </c>
      <c r="L175" s="20"/>
      <c r="M175" s="20"/>
      <c r="N175" s="20"/>
      <c r="O175" s="21"/>
    </row>
    <row r="176" spans="4:15" x14ac:dyDescent="0.25">
      <c r="D176" s="19"/>
      <c r="E176" s="20"/>
      <c r="F176" s="20"/>
      <c r="G176" s="20"/>
      <c r="H176" s="4" t="s">
        <v>4</v>
      </c>
      <c r="I176" s="5">
        <f>IF($F$9="Monthly",$F$10,0)</f>
        <v>11100.295724080675</v>
      </c>
      <c r="J176" s="5">
        <f t="shared" ref="J176:J185" si="21">I176+J175</f>
        <v>2122318.6987816701</v>
      </c>
      <c r="K176" s="6">
        <f t="shared" si="20"/>
        <v>15386.810566167107</v>
      </c>
      <c r="L176" s="20"/>
      <c r="M176" s="20"/>
      <c r="N176" s="20"/>
      <c r="O176" s="21"/>
    </row>
    <row r="177" spans="4:15" x14ac:dyDescent="0.25">
      <c r="D177" s="19"/>
      <c r="E177" s="20"/>
      <c r="F177" s="20"/>
      <c r="G177" s="20"/>
      <c r="H177" s="4" t="s">
        <v>5</v>
      </c>
      <c r="I177" s="5">
        <f>IF(OR($F$9="Monthly",$F$9="Quarterly"),$F$10,0)</f>
        <v>11100.295724080675</v>
      </c>
      <c r="J177" s="5">
        <f t="shared" si="21"/>
        <v>2133418.9945057509</v>
      </c>
      <c r="K177" s="6">
        <f t="shared" si="20"/>
        <v>15467.287710166695</v>
      </c>
      <c r="L177" s="20"/>
      <c r="M177" s="20"/>
      <c r="N177" s="20"/>
      <c r="O177" s="21"/>
    </row>
    <row r="178" spans="4:15" x14ac:dyDescent="0.25">
      <c r="D178" s="19"/>
      <c r="E178" s="20"/>
      <c r="F178" s="20"/>
      <c r="G178" s="20"/>
      <c r="H178" s="4" t="s">
        <v>6</v>
      </c>
      <c r="I178" s="5">
        <f>IF($F$9="Monthly",$F$10,0)</f>
        <v>11100.295724080675</v>
      </c>
      <c r="J178" s="5">
        <f t="shared" si="21"/>
        <v>2144519.2902298318</v>
      </c>
      <c r="K178" s="6">
        <f t="shared" si="20"/>
        <v>15547.76485416628</v>
      </c>
      <c r="L178" s="20"/>
      <c r="M178" s="20"/>
      <c r="N178" s="20"/>
      <c r="O178" s="21"/>
    </row>
    <row r="179" spans="4:15" x14ac:dyDescent="0.25">
      <c r="D179" s="19"/>
      <c r="E179" s="20"/>
      <c r="F179" s="20"/>
      <c r="G179" s="20"/>
      <c r="H179" s="4" t="s">
        <v>7</v>
      </c>
      <c r="I179" s="5">
        <f>IF($F$9="Monthly",$F$10,0)</f>
        <v>11100.295724080675</v>
      </c>
      <c r="J179" s="5">
        <f t="shared" si="21"/>
        <v>2155619.5859539127</v>
      </c>
      <c r="K179" s="6">
        <f t="shared" si="20"/>
        <v>15628.241998165866</v>
      </c>
      <c r="L179" s="20"/>
      <c r="M179" s="20"/>
      <c r="N179" s="20"/>
      <c r="O179" s="21"/>
    </row>
    <row r="180" spans="4:15" x14ac:dyDescent="0.25">
      <c r="D180" s="19"/>
      <c r="E180" s="20"/>
      <c r="F180" s="20"/>
      <c r="G180" s="20"/>
      <c r="H180" s="4" t="s">
        <v>8</v>
      </c>
      <c r="I180" s="5">
        <f>IF($F$9&lt;&gt;"Annual",$F$10,0)</f>
        <v>11100.295724080675</v>
      </c>
      <c r="J180" s="5">
        <f t="shared" si="21"/>
        <v>2166719.8816779936</v>
      </c>
      <c r="K180" s="6">
        <f t="shared" si="20"/>
        <v>15708.719142165452</v>
      </c>
      <c r="L180" s="20"/>
      <c r="M180" s="20"/>
      <c r="N180" s="20"/>
      <c r="O180" s="21"/>
    </row>
    <row r="181" spans="4:15" x14ac:dyDescent="0.25">
      <c r="D181" s="19"/>
      <c r="E181" s="20"/>
      <c r="F181" s="20"/>
      <c r="G181" s="20"/>
      <c r="H181" s="4" t="s">
        <v>9</v>
      </c>
      <c r="I181" s="5">
        <f>IF($F$9="Monthly",$F$10,0)</f>
        <v>11100.295724080675</v>
      </c>
      <c r="J181" s="5">
        <f t="shared" si="21"/>
        <v>2177820.1774020744</v>
      </c>
      <c r="K181" s="6">
        <f t="shared" si="20"/>
        <v>15789.196286165039</v>
      </c>
      <c r="L181" s="20"/>
      <c r="M181" s="20"/>
      <c r="N181" s="20"/>
      <c r="O181" s="21"/>
    </row>
    <row r="182" spans="4:15" x14ac:dyDescent="0.25">
      <c r="D182" s="19"/>
      <c r="E182" s="20"/>
      <c r="F182" s="20"/>
      <c r="G182" s="20"/>
      <c r="H182" s="4" t="s">
        <v>10</v>
      </c>
      <c r="I182" s="5">
        <f>IF($F$9="Monthly",$F$10,0)</f>
        <v>11100.295724080675</v>
      </c>
      <c r="J182" s="5">
        <f t="shared" si="21"/>
        <v>2188920.4731261553</v>
      </c>
      <c r="K182" s="6">
        <f t="shared" si="20"/>
        <v>15869.673430164627</v>
      </c>
      <c r="L182" s="20"/>
      <c r="M182" s="20"/>
      <c r="N182" s="20"/>
      <c r="O182" s="21"/>
    </row>
    <row r="183" spans="4:15" x14ac:dyDescent="0.25">
      <c r="D183" s="19"/>
      <c r="E183" s="20"/>
      <c r="F183" s="20"/>
      <c r="G183" s="20"/>
      <c r="H183" s="4" t="s">
        <v>11</v>
      </c>
      <c r="I183" s="5">
        <f>IF(OR($F$9="Monthly",$F$9="Quarterly"),$F$10,0)</f>
        <v>11100.295724080675</v>
      </c>
      <c r="J183" s="5">
        <f t="shared" si="21"/>
        <v>2200020.7688502362</v>
      </c>
      <c r="K183" s="6">
        <f t="shared" si="20"/>
        <v>15950.15057416421</v>
      </c>
      <c r="L183" s="20"/>
      <c r="M183" s="20"/>
      <c r="N183" s="20"/>
      <c r="O183" s="21"/>
    </row>
    <row r="184" spans="4:15" x14ac:dyDescent="0.25">
      <c r="D184" s="19"/>
      <c r="E184" s="20"/>
      <c r="F184" s="20"/>
      <c r="G184" s="20"/>
      <c r="H184" s="4" t="s">
        <v>12</v>
      </c>
      <c r="I184" s="5">
        <f>IF($F$9="Monthly",$F$10,0)</f>
        <v>11100.295724080675</v>
      </c>
      <c r="J184" s="5">
        <f t="shared" si="21"/>
        <v>2211121.0645743171</v>
      </c>
      <c r="K184" s="6">
        <f t="shared" si="20"/>
        <v>16030.627718163798</v>
      </c>
      <c r="L184" s="20"/>
      <c r="M184" s="20"/>
      <c r="N184" s="20"/>
      <c r="O184" s="21"/>
    </row>
    <row r="185" spans="4:15" x14ac:dyDescent="0.25">
      <c r="D185" s="19"/>
      <c r="E185" s="20"/>
      <c r="F185" s="20"/>
      <c r="G185" s="20"/>
      <c r="H185" s="4" t="s">
        <v>13</v>
      </c>
      <c r="I185" s="5">
        <f>IF($F$9="Monthly",$F$10,0)</f>
        <v>11100.295724080675</v>
      </c>
      <c r="J185" s="5">
        <f t="shared" si="21"/>
        <v>2222221.360298398</v>
      </c>
      <c r="K185" s="6">
        <f t="shared" si="20"/>
        <v>16111.104862163384</v>
      </c>
      <c r="L185" s="20"/>
      <c r="M185" s="20"/>
      <c r="N185" s="20"/>
      <c r="O185" s="21"/>
    </row>
    <row r="186" spans="4:15" x14ac:dyDescent="0.25">
      <c r="D186" s="19"/>
      <c r="E186" s="20"/>
      <c r="F186" s="20"/>
      <c r="G186" s="20"/>
      <c r="H186" s="7" t="s">
        <v>21</v>
      </c>
      <c r="I186" s="9"/>
      <c r="J186" s="9">
        <f>J185+SUM(K174:K185)</f>
        <v>2410243.127140386</v>
      </c>
      <c r="K186" s="10"/>
      <c r="L186" s="20"/>
      <c r="M186" s="20"/>
      <c r="N186" s="20"/>
      <c r="O186" s="21"/>
    </row>
    <row r="187" spans="4:15" x14ac:dyDescent="0.25">
      <c r="D187" s="19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1"/>
    </row>
    <row r="188" spans="4:15" x14ac:dyDescent="0.25">
      <c r="D188" s="19"/>
      <c r="E188" s="20"/>
      <c r="F188" s="20"/>
      <c r="G188" s="20"/>
      <c r="H188" s="114" t="s">
        <v>28</v>
      </c>
      <c r="I188" s="115"/>
      <c r="J188" s="115"/>
      <c r="K188" s="116"/>
      <c r="L188" s="20"/>
      <c r="M188" s="20"/>
      <c r="N188" s="20"/>
      <c r="O188" s="21"/>
    </row>
    <row r="189" spans="4:15" x14ac:dyDescent="0.25">
      <c r="D189" s="19"/>
      <c r="E189" s="20"/>
      <c r="F189" s="20"/>
      <c r="G189" s="20"/>
      <c r="H189" s="1" t="s">
        <v>1</v>
      </c>
      <c r="I189" s="2" t="s">
        <v>14</v>
      </c>
      <c r="J189" s="2" t="s">
        <v>0</v>
      </c>
      <c r="K189" s="3" t="s">
        <v>15</v>
      </c>
      <c r="L189" s="20"/>
      <c r="M189" s="20"/>
      <c r="N189" s="20"/>
      <c r="O189" s="21"/>
    </row>
    <row r="190" spans="4:15" x14ac:dyDescent="0.25">
      <c r="D190" s="19"/>
      <c r="E190" s="20"/>
      <c r="F190" s="20"/>
      <c r="G190" s="20"/>
      <c r="H190" s="4" t="s">
        <v>2</v>
      </c>
      <c r="I190" s="5">
        <f>$F$10</f>
        <v>11100.295724080675</v>
      </c>
      <c r="J190" s="5">
        <f>I190+J186</f>
        <v>2421343.4228644669</v>
      </c>
      <c r="K190" s="6">
        <f t="shared" ref="K190:K201" si="22">J190*$K$9/12</f>
        <v>17554.739815767385</v>
      </c>
      <c r="L190" s="20"/>
      <c r="M190" s="20"/>
      <c r="N190" s="20"/>
      <c r="O190" s="21"/>
    </row>
    <row r="191" spans="4:15" x14ac:dyDescent="0.25">
      <c r="D191" s="19"/>
      <c r="E191" s="20"/>
      <c r="F191" s="20"/>
      <c r="G191" s="20"/>
      <c r="H191" s="4" t="s">
        <v>3</v>
      </c>
      <c r="I191" s="5">
        <f>IF($F$9="Monthly",$F$10,0)</f>
        <v>11100.295724080675</v>
      </c>
      <c r="J191" s="5">
        <f>I191+J190</f>
        <v>2432443.7185885478</v>
      </c>
      <c r="K191" s="6">
        <f t="shared" si="22"/>
        <v>17635.216959766971</v>
      </c>
      <c r="L191" s="20"/>
      <c r="M191" s="20"/>
      <c r="N191" s="20"/>
      <c r="O191" s="21"/>
    </row>
    <row r="192" spans="4:15" x14ac:dyDescent="0.25">
      <c r="D192" s="19"/>
      <c r="E192" s="20"/>
      <c r="F192" s="20"/>
      <c r="G192" s="20"/>
      <c r="H192" s="4" t="s">
        <v>4</v>
      </c>
      <c r="I192" s="5">
        <f>IF($F$9="Monthly",$F$10,0)</f>
        <v>11100.295724080675</v>
      </c>
      <c r="J192" s="5">
        <f t="shared" ref="J192:J201" si="23">I192+J191</f>
        <v>2443544.0143126287</v>
      </c>
      <c r="K192" s="6">
        <f t="shared" si="22"/>
        <v>17715.694103766557</v>
      </c>
      <c r="L192" s="20"/>
      <c r="M192" s="20"/>
      <c r="N192" s="20"/>
      <c r="O192" s="21"/>
    </row>
    <row r="193" spans="4:15" x14ac:dyDescent="0.25">
      <c r="D193" s="19"/>
      <c r="E193" s="20"/>
      <c r="F193" s="20"/>
      <c r="G193" s="20"/>
      <c r="H193" s="4" t="s">
        <v>5</v>
      </c>
      <c r="I193" s="5">
        <f>IF(OR($F$9="Monthly",$F$9="Quarterly"),$F$10,0)</f>
        <v>11100.295724080675</v>
      </c>
      <c r="J193" s="5">
        <f t="shared" si="23"/>
        <v>2454644.3100367095</v>
      </c>
      <c r="K193" s="6">
        <f t="shared" si="22"/>
        <v>17796.171247766142</v>
      </c>
      <c r="L193" s="20"/>
      <c r="M193" s="20"/>
      <c r="N193" s="20"/>
      <c r="O193" s="21"/>
    </row>
    <row r="194" spans="4:15" x14ac:dyDescent="0.25">
      <c r="D194" s="19"/>
      <c r="E194" s="20"/>
      <c r="F194" s="20"/>
      <c r="G194" s="20"/>
      <c r="H194" s="4" t="s">
        <v>6</v>
      </c>
      <c r="I194" s="5">
        <f>IF($F$9="Monthly",$F$10,0)</f>
        <v>11100.295724080675</v>
      </c>
      <c r="J194" s="5">
        <f t="shared" si="23"/>
        <v>2465744.6057607904</v>
      </c>
      <c r="K194" s="6">
        <f t="shared" si="22"/>
        <v>17876.648391765728</v>
      </c>
      <c r="L194" s="20"/>
      <c r="M194" s="20"/>
      <c r="N194" s="20"/>
      <c r="O194" s="21"/>
    </row>
    <row r="195" spans="4:15" x14ac:dyDescent="0.25">
      <c r="D195" s="19"/>
      <c r="E195" s="20"/>
      <c r="F195" s="20"/>
      <c r="G195" s="20"/>
      <c r="H195" s="4" t="s">
        <v>7</v>
      </c>
      <c r="I195" s="5">
        <f>IF($F$9="Monthly",$F$10,0)</f>
        <v>11100.295724080675</v>
      </c>
      <c r="J195" s="5">
        <f t="shared" si="23"/>
        <v>2476844.9014848713</v>
      </c>
      <c r="K195" s="6">
        <f t="shared" si="22"/>
        <v>17957.125535765317</v>
      </c>
      <c r="L195" s="20"/>
      <c r="M195" s="20"/>
      <c r="N195" s="20"/>
      <c r="O195" s="21"/>
    </row>
    <row r="196" spans="4:15" x14ac:dyDescent="0.25">
      <c r="D196" s="19"/>
      <c r="E196" s="20"/>
      <c r="F196" s="20"/>
      <c r="G196" s="20"/>
      <c r="H196" s="4" t="s">
        <v>8</v>
      </c>
      <c r="I196" s="5">
        <f>IF($F$9&lt;&gt;"Annual",$F$10,0)</f>
        <v>11100.295724080675</v>
      </c>
      <c r="J196" s="5">
        <f t="shared" si="23"/>
        <v>2487945.1972089522</v>
      </c>
      <c r="K196" s="6">
        <f t="shared" si="22"/>
        <v>18037.602679764903</v>
      </c>
      <c r="L196" s="20"/>
      <c r="M196" s="20"/>
      <c r="N196" s="20"/>
      <c r="O196" s="21"/>
    </row>
    <row r="197" spans="4:15" x14ac:dyDescent="0.25">
      <c r="D197" s="19"/>
      <c r="E197" s="20"/>
      <c r="F197" s="20"/>
      <c r="G197" s="20"/>
      <c r="H197" s="4" t="s">
        <v>9</v>
      </c>
      <c r="I197" s="5">
        <f>IF($F$9="Monthly",$F$10,0)</f>
        <v>11100.295724080675</v>
      </c>
      <c r="J197" s="5">
        <f t="shared" si="23"/>
        <v>2499045.492933033</v>
      </c>
      <c r="K197" s="6">
        <f t="shared" si="22"/>
        <v>18118.079823764489</v>
      </c>
      <c r="L197" s="20"/>
      <c r="M197" s="20"/>
      <c r="N197" s="20"/>
      <c r="O197" s="21"/>
    </row>
    <row r="198" spans="4:15" x14ac:dyDescent="0.25">
      <c r="D198" s="19"/>
      <c r="E198" s="20"/>
      <c r="F198" s="20"/>
      <c r="G198" s="20"/>
      <c r="H198" s="4" t="s">
        <v>10</v>
      </c>
      <c r="I198" s="5">
        <f>IF($F$9="Monthly",$F$10,0)</f>
        <v>11100.295724080675</v>
      </c>
      <c r="J198" s="5">
        <f t="shared" si="23"/>
        <v>2510145.7886571139</v>
      </c>
      <c r="K198" s="6">
        <f t="shared" si="22"/>
        <v>18198.556967764074</v>
      </c>
      <c r="L198" s="20"/>
      <c r="M198" s="20"/>
      <c r="N198" s="20"/>
      <c r="O198" s="21"/>
    </row>
    <row r="199" spans="4:15" x14ac:dyDescent="0.25">
      <c r="D199" s="19"/>
      <c r="E199" s="20"/>
      <c r="F199" s="20"/>
      <c r="G199" s="20"/>
      <c r="H199" s="4" t="s">
        <v>11</v>
      </c>
      <c r="I199" s="5">
        <f>IF(OR($F$9="Monthly",$F$9="Quarterly"),$F$10,0)</f>
        <v>11100.295724080675</v>
      </c>
      <c r="J199" s="5">
        <f t="shared" si="23"/>
        <v>2521246.0843811948</v>
      </c>
      <c r="K199" s="6">
        <f t="shared" si="22"/>
        <v>18279.03411176366</v>
      </c>
      <c r="L199" s="20"/>
      <c r="M199" s="20"/>
      <c r="N199" s="20"/>
      <c r="O199" s="21"/>
    </row>
    <row r="200" spans="4:15" x14ac:dyDescent="0.25">
      <c r="D200" s="19"/>
      <c r="E200" s="20"/>
      <c r="F200" s="20"/>
      <c r="G200" s="20"/>
      <c r="H200" s="4" t="s">
        <v>12</v>
      </c>
      <c r="I200" s="5">
        <f>IF($F$9="Monthly",$F$10,0)</f>
        <v>11100.295724080675</v>
      </c>
      <c r="J200" s="5">
        <f t="shared" si="23"/>
        <v>2532346.3801052757</v>
      </c>
      <c r="K200" s="6">
        <f t="shared" si="22"/>
        <v>18359.511255763249</v>
      </c>
      <c r="L200" s="20"/>
      <c r="M200" s="20"/>
      <c r="N200" s="20"/>
      <c r="O200" s="21"/>
    </row>
    <row r="201" spans="4:15" x14ac:dyDescent="0.25">
      <c r="D201" s="19"/>
      <c r="E201" s="20"/>
      <c r="F201" s="20"/>
      <c r="G201" s="20"/>
      <c r="H201" s="4" t="s">
        <v>13</v>
      </c>
      <c r="I201" s="5">
        <f>IF($F$9="Monthly",$F$10,0)</f>
        <v>11100.295724080675</v>
      </c>
      <c r="J201" s="5">
        <f t="shared" si="23"/>
        <v>2543446.6758293565</v>
      </c>
      <c r="K201" s="6">
        <f t="shared" si="22"/>
        <v>18439.988399762831</v>
      </c>
      <c r="L201" s="20"/>
      <c r="M201" s="20"/>
      <c r="N201" s="20"/>
      <c r="O201" s="21"/>
    </row>
    <row r="202" spans="4:15" x14ac:dyDescent="0.25">
      <c r="D202" s="19"/>
      <c r="E202" s="20"/>
      <c r="F202" s="20"/>
      <c r="G202" s="20"/>
      <c r="H202" s="7" t="s">
        <v>21</v>
      </c>
      <c r="I202" s="9"/>
      <c r="J202" s="9">
        <f>J201+SUM(K190:K201)</f>
        <v>2759415.0451225378</v>
      </c>
      <c r="K202" s="10"/>
      <c r="L202" s="20"/>
      <c r="M202" s="20"/>
      <c r="N202" s="20"/>
      <c r="O202" s="21"/>
    </row>
    <row r="203" spans="4:15" x14ac:dyDescent="0.25">
      <c r="D203" s="19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1"/>
    </row>
    <row r="204" spans="4:15" x14ac:dyDescent="0.25">
      <c r="D204" s="19"/>
      <c r="E204" s="20"/>
      <c r="F204" s="20"/>
      <c r="G204" s="20"/>
      <c r="H204" s="114" t="s">
        <v>29</v>
      </c>
      <c r="I204" s="115"/>
      <c r="J204" s="115"/>
      <c r="K204" s="116"/>
      <c r="L204" s="20"/>
      <c r="M204" s="20"/>
      <c r="N204" s="20"/>
      <c r="O204" s="21"/>
    </row>
    <row r="205" spans="4:15" x14ac:dyDescent="0.25">
      <c r="D205" s="19"/>
      <c r="E205" s="20"/>
      <c r="F205" s="20"/>
      <c r="G205" s="20"/>
      <c r="H205" s="1" t="s">
        <v>1</v>
      </c>
      <c r="I205" s="2" t="s">
        <v>14</v>
      </c>
      <c r="J205" s="2" t="s">
        <v>0</v>
      </c>
      <c r="K205" s="3" t="s">
        <v>15</v>
      </c>
      <c r="L205" s="20"/>
      <c r="M205" s="20"/>
      <c r="N205" s="20"/>
      <c r="O205" s="21"/>
    </row>
    <row r="206" spans="4:15" x14ac:dyDescent="0.25">
      <c r="D206" s="19"/>
      <c r="E206" s="20"/>
      <c r="F206" s="20"/>
      <c r="G206" s="20"/>
      <c r="H206" s="4" t="s">
        <v>2</v>
      </c>
      <c r="I206" s="5">
        <f>$F$10</f>
        <v>11100.295724080675</v>
      </c>
      <c r="J206" s="5">
        <f>I206+J202</f>
        <v>2770515.3408466186</v>
      </c>
      <c r="K206" s="6">
        <f t="shared" ref="K206:K217" si="24">J206*$K$9/12</f>
        <v>20086.236221137984</v>
      </c>
      <c r="L206" s="20"/>
      <c r="M206" s="20"/>
      <c r="N206" s="20"/>
      <c r="O206" s="21"/>
    </row>
    <row r="207" spans="4:15" x14ac:dyDescent="0.25">
      <c r="D207" s="19"/>
      <c r="E207" s="20"/>
      <c r="F207" s="20"/>
      <c r="G207" s="20"/>
      <c r="H207" s="4" t="s">
        <v>3</v>
      </c>
      <c r="I207" s="5">
        <f>IF($F$9="Monthly",$F$10,0)</f>
        <v>11100.295724080675</v>
      </c>
      <c r="J207" s="5">
        <f>I207+J206</f>
        <v>2781615.6365706995</v>
      </c>
      <c r="K207" s="6">
        <f t="shared" si="24"/>
        <v>20166.71336513757</v>
      </c>
      <c r="L207" s="20"/>
      <c r="M207" s="20"/>
      <c r="N207" s="20"/>
      <c r="O207" s="21"/>
    </row>
    <row r="208" spans="4:15" x14ac:dyDescent="0.25">
      <c r="D208" s="19"/>
      <c r="E208" s="20"/>
      <c r="F208" s="20"/>
      <c r="G208" s="20"/>
      <c r="H208" s="4" t="s">
        <v>4</v>
      </c>
      <c r="I208" s="5">
        <f>IF($F$9="Monthly",$F$10,0)</f>
        <v>11100.295724080675</v>
      </c>
      <c r="J208" s="5">
        <f t="shared" ref="J208:J217" si="25">I208+J207</f>
        <v>2792715.9322947804</v>
      </c>
      <c r="K208" s="6">
        <f t="shared" si="24"/>
        <v>20247.190509137155</v>
      </c>
      <c r="L208" s="20"/>
      <c r="M208" s="20"/>
      <c r="N208" s="20"/>
      <c r="O208" s="21"/>
    </row>
    <row r="209" spans="4:15" x14ac:dyDescent="0.25">
      <c r="D209" s="19"/>
      <c r="E209" s="20"/>
      <c r="F209" s="20"/>
      <c r="G209" s="20"/>
      <c r="H209" s="4" t="s">
        <v>5</v>
      </c>
      <c r="I209" s="5">
        <f>IF(OR($F$9="Monthly",$F$9="Quarterly"),$F$10,0)</f>
        <v>11100.295724080675</v>
      </c>
      <c r="J209" s="5">
        <f t="shared" si="25"/>
        <v>2803816.2280188613</v>
      </c>
      <c r="K209" s="6">
        <f t="shared" si="24"/>
        <v>20327.667653136745</v>
      </c>
      <c r="L209" s="20"/>
      <c r="M209" s="20"/>
      <c r="N209" s="20"/>
      <c r="O209" s="21"/>
    </row>
    <row r="210" spans="4:15" x14ac:dyDescent="0.25">
      <c r="D210" s="19"/>
      <c r="E210" s="20"/>
      <c r="F210" s="20"/>
      <c r="G210" s="20"/>
      <c r="H210" s="4" t="s">
        <v>6</v>
      </c>
      <c r="I210" s="5">
        <f>IF($F$9="Monthly",$F$10,0)</f>
        <v>11100.295724080675</v>
      </c>
      <c r="J210" s="5">
        <f t="shared" si="25"/>
        <v>2814916.5237429421</v>
      </c>
      <c r="K210" s="6">
        <f t="shared" si="24"/>
        <v>20408.144797136327</v>
      </c>
      <c r="L210" s="20"/>
      <c r="M210" s="20"/>
      <c r="N210" s="20"/>
      <c r="O210" s="21"/>
    </row>
    <row r="211" spans="4:15" x14ac:dyDescent="0.25">
      <c r="D211" s="19"/>
      <c r="E211" s="20"/>
      <c r="F211" s="20"/>
      <c r="G211" s="20"/>
      <c r="H211" s="4" t="s">
        <v>7</v>
      </c>
      <c r="I211" s="5">
        <f>IF($F$9="Monthly",$F$10,0)</f>
        <v>11100.295724080675</v>
      </c>
      <c r="J211" s="5">
        <f t="shared" si="25"/>
        <v>2826016.819467023</v>
      </c>
      <c r="K211" s="6">
        <f t="shared" si="24"/>
        <v>20488.621941135916</v>
      </c>
      <c r="L211" s="20"/>
      <c r="M211" s="20"/>
      <c r="N211" s="20"/>
      <c r="O211" s="21"/>
    </row>
    <row r="212" spans="4:15" x14ac:dyDescent="0.25">
      <c r="D212" s="19"/>
      <c r="E212" s="20"/>
      <c r="F212" s="20"/>
      <c r="G212" s="20"/>
      <c r="H212" s="4" t="s">
        <v>8</v>
      </c>
      <c r="I212" s="5">
        <f>IF($F$9&lt;&gt;"Annual",$F$10,0)</f>
        <v>11100.295724080675</v>
      </c>
      <c r="J212" s="5">
        <f t="shared" si="25"/>
        <v>2837117.1151911039</v>
      </c>
      <c r="K212" s="6">
        <f t="shared" si="24"/>
        <v>20569.099085135502</v>
      </c>
      <c r="L212" s="20"/>
      <c r="M212" s="20"/>
      <c r="N212" s="20"/>
      <c r="O212" s="21"/>
    </row>
    <row r="213" spans="4:15" x14ac:dyDescent="0.25">
      <c r="D213" s="19"/>
      <c r="E213" s="20"/>
      <c r="F213" s="20"/>
      <c r="G213" s="20"/>
      <c r="H213" s="4" t="s">
        <v>9</v>
      </c>
      <c r="I213" s="5">
        <f>IF($F$9="Monthly",$F$10,0)</f>
        <v>11100.295724080675</v>
      </c>
      <c r="J213" s="5">
        <f t="shared" si="25"/>
        <v>2848217.4109151848</v>
      </c>
      <c r="K213" s="6">
        <f t="shared" si="24"/>
        <v>20649.576229135087</v>
      </c>
      <c r="L213" s="20"/>
      <c r="M213" s="20"/>
      <c r="N213" s="20"/>
      <c r="O213" s="21"/>
    </row>
    <row r="214" spans="4:15" x14ac:dyDescent="0.25">
      <c r="D214" s="19"/>
      <c r="E214" s="20"/>
      <c r="F214" s="20"/>
      <c r="G214" s="20"/>
      <c r="H214" s="4" t="s">
        <v>10</v>
      </c>
      <c r="I214" s="5">
        <f>IF($F$9="Monthly",$F$10,0)</f>
        <v>11100.295724080675</v>
      </c>
      <c r="J214" s="5">
        <f t="shared" si="25"/>
        <v>2859317.7066392656</v>
      </c>
      <c r="K214" s="6">
        <f t="shared" si="24"/>
        <v>20730.053373134677</v>
      </c>
      <c r="L214" s="20"/>
      <c r="M214" s="20"/>
      <c r="N214" s="20"/>
      <c r="O214" s="21"/>
    </row>
    <row r="215" spans="4:15" x14ac:dyDescent="0.25">
      <c r="D215" s="19"/>
      <c r="E215" s="20"/>
      <c r="F215" s="20"/>
      <c r="G215" s="20"/>
      <c r="H215" s="4" t="s">
        <v>11</v>
      </c>
      <c r="I215" s="5">
        <f>IF(OR($F$9="Monthly",$F$9="Quarterly"),$F$10,0)</f>
        <v>11100.295724080675</v>
      </c>
      <c r="J215" s="5">
        <f t="shared" si="25"/>
        <v>2870418.0023633465</v>
      </c>
      <c r="K215" s="6">
        <f t="shared" si="24"/>
        <v>20810.530517134259</v>
      </c>
      <c r="L215" s="20"/>
      <c r="M215" s="20"/>
      <c r="N215" s="20"/>
      <c r="O215" s="21"/>
    </row>
    <row r="216" spans="4:15" x14ac:dyDescent="0.25">
      <c r="D216" s="19"/>
      <c r="E216" s="20"/>
      <c r="F216" s="20"/>
      <c r="G216" s="20"/>
      <c r="H216" s="4" t="s">
        <v>12</v>
      </c>
      <c r="I216" s="5">
        <f>IF($F$9="Monthly",$F$10,0)</f>
        <v>11100.295724080675</v>
      </c>
      <c r="J216" s="5">
        <f t="shared" si="25"/>
        <v>2881518.2980874274</v>
      </c>
      <c r="K216" s="6">
        <f t="shared" si="24"/>
        <v>20891.007661133848</v>
      </c>
      <c r="L216" s="20"/>
      <c r="M216" s="20"/>
      <c r="N216" s="20"/>
      <c r="O216" s="21"/>
    </row>
    <row r="217" spans="4:15" x14ac:dyDescent="0.25">
      <c r="D217" s="19"/>
      <c r="E217" s="20"/>
      <c r="F217" s="20"/>
      <c r="G217" s="20"/>
      <c r="H217" s="4" t="s">
        <v>13</v>
      </c>
      <c r="I217" s="5">
        <f>IF($F$9="Monthly",$F$10,0)</f>
        <v>11100.295724080675</v>
      </c>
      <c r="J217" s="5">
        <f t="shared" si="25"/>
        <v>2892618.5938115083</v>
      </c>
      <c r="K217" s="6">
        <f t="shared" si="24"/>
        <v>20971.484805133434</v>
      </c>
      <c r="L217" s="20"/>
      <c r="M217" s="20"/>
      <c r="N217" s="20"/>
      <c r="O217" s="21"/>
    </row>
    <row r="218" spans="4:15" x14ac:dyDescent="0.25">
      <c r="D218" s="19"/>
      <c r="E218" s="20"/>
      <c r="F218" s="20"/>
      <c r="G218" s="20"/>
      <c r="H218" s="7" t="s">
        <v>21</v>
      </c>
      <c r="I218" s="9"/>
      <c r="J218" s="9">
        <f>J217+SUM(K206:K217)</f>
        <v>3138964.9199691368</v>
      </c>
      <c r="K218" s="10"/>
      <c r="L218" s="20"/>
      <c r="M218" s="20"/>
      <c r="N218" s="20"/>
      <c r="O218" s="21"/>
    </row>
    <row r="219" spans="4:15" x14ac:dyDescent="0.25">
      <c r="D219" s="19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1"/>
    </row>
    <row r="220" spans="4:15" x14ac:dyDescent="0.25">
      <c r="D220" s="19"/>
      <c r="E220" s="20"/>
      <c r="F220" s="20"/>
      <c r="G220" s="20"/>
      <c r="H220" s="114" t="s">
        <v>30</v>
      </c>
      <c r="I220" s="115"/>
      <c r="J220" s="115"/>
      <c r="K220" s="116"/>
      <c r="L220" s="20"/>
      <c r="M220" s="20"/>
      <c r="N220" s="20"/>
      <c r="O220" s="21"/>
    </row>
    <row r="221" spans="4:15" x14ac:dyDescent="0.25">
      <c r="D221" s="19"/>
      <c r="E221" s="20"/>
      <c r="F221" s="20"/>
      <c r="G221" s="20"/>
      <c r="H221" s="1" t="s">
        <v>1</v>
      </c>
      <c r="I221" s="2" t="s">
        <v>14</v>
      </c>
      <c r="J221" s="2" t="s">
        <v>0</v>
      </c>
      <c r="K221" s="3" t="s">
        <v>15</v>
      </c>
      <c r="L221" s="20"/>
      <c r="M221" s="20"/>
      <c r="N221" s="20"/>
      <c r="O221" s="21"/>
    </row>
    <row r="222" spans="4:15" x14ac:dyDescent="0.25">
      <c r="D222" s="19"/>
      <c r="E222" s="20"/>
      <c r="F222" s="20"/>
      <c r="G222" s="20"/>
      <c r="H222" s="4" t="s">
        <v>2</v>
      </c>
      <c r="I222" s="5">
        <f>$F$10</f>
        <v>11100.295724080675</v>
      </c>
      <c r="J222" s="5">
        <f>I222+J218</f>
        <v>3150065.2156932177</v>
      </c>
      <c r="K222" s="6">
        <f t="shared" ref="K222:K233" si="26">J222*$K$9/12</f>
        <v>22837.972813775825</v>
      </c>
      <c r="L222" s="20"/>
      <c r="M222" s="20"/>
      <c r="N222" s="20"/>
      <c r="O222" s="21"/>
    </row>
    <row r="223" spans="4:15" x14ac:dyDescent="0.25">
      <c r="D223" s="19"/>
      <c r="E223" s="20"/>
      <c r="F223" s="20"/>
      <c r="G223" s="20"/>
      <c r="H223" s="4" t="s">
        <v>3</v>
      </c>
      <c r="I223" s="5">
        <f>IF($F$9="Monthly",$F$10,0)</f>
        <v>11100.295724080675</v>
      </c>
      <c r="J223" s="5">
        <f>I223+J222</f>
        <v>3161165.5114172986</v>
      </c>
      <c r="K223" s="6">
        <f t="shared" si="26"/>
        <v>22918.449957775414</v>
      </c>
      <c r="L223" s="20"/>
      <c r="M223" s="20"/>
      <c r="N223" s="20"/>
      <c r="O223" s="21"/>
    </row>
    <row r="224" spans="4:15" x14ac:dyDescent="0.25">
      <c r="D224" s="19"/>
      <c r="E224" s="20"/>
      <c r="F224" s="20"/>
      <c r="G224" s="20"/>
      <c r="H224" s="4" t="s">
        <v>4</v>
      </c>
      <c r="I224" s="5">
        <f>IF($F$9="Monthly",$F$10,0)</f>
        <v>11100.295724080675</v>
      </c>
      <c r="J224" s="5">
        <f t="shared" ref="J224:J233" si="27">I224+J223</f>
        <v>3172265.8071413795</v>
      </c>
      <c r="K224" s="6">
        <f t="shared" si="26"/>
        <v>22998.927101775</v>
      </c>
      <c r="L224" s="20"/>
      <c r="M224" s="20"/>
      <c r="N224" s="20"/>
      <c r="O224" s="21"/>
    </row>
    <row r="225" spans="4:15" x14ac:dyDescent="0.25">
      <c r="D225" s="19"/>
      <c r="E225" s="20"/>
      <c r="F225" s="20"/>
      <c r="G225" s="20"/>
      <c r="H225" s="4" t="s">
        <v>5</v>
      </c>
      <c r="I225" s="5">
        <f>IF(OR($F$9="Monthly",$F$9="Quarterly"),$F$10,0)</f>
        <v>11100.295724080675</v>
      </c>
      <c r="J225" s="5">
        <f t="shared" si="27"/>
        <v>3183366.1028654603</v>
      </c>
      <c r="K225" s="6">
        <f t="shared" si="26"/>
        <v>23079.404245774585</v>
      </c>
      <c r="L225" s="20"/>
      <c r="M225" s="20"/>
      <c r="N225" s="20"/>
      <c r="O225" s="21"/>
    </row>
    <row r="226" spans="4:15" x14ac:dyDescent="0.25">
      <c r="D226" s="19"/>
      <c r="E226" s="20"/>
      <c r="F226" s="20"/>
      <c r="G226" s="20"/>
      <c r="H226" s="4" t="s">
        <v>6</v>
      </c>
      <c r="I226" s="5">
        <f>IF($F$9="Monthly",$F$10,0)</f>
        <v>11100.295724080675</v>
      </c>
      <c r="J226" s="5">
        <f t="shared" si="27"/>
        <v>3194466.3985895412</v>
      </c>
      <c r="K226" s="6">
        <f t="shared" si="26"/>
        <v>23159.881389774175</v>
      </c>
      <c r="L226" s="20"/>
      <c r="M226" s="20"/>
      <c r="N226" s="20"/>
      <c r="O226" s="21"/>
    </row>
    <row r="227" spans="4:15" x14ac:dyDescent="0.25">
      <c r="D227" s="19"/>
      <c r="E227" s="20"/>
      <c r="F227" s="20"/>
      <c r="G227" s="20"/>
      <c r="H227" s="4" t="s">
        <v>7</v>
      </c>
      <c r="I227" s="5">
        <f>IF($F$9="Monthly",$F$10,0)</f>
        <v>11100.295724080675</v>
      </c>
      <c r="J227" s="5">
        <f t="shared" si="27"/>
        <v>3205566.6943136221</v>
      </c>
      <c r="K227" s="6">
        <f t="shared" si="26"/>
        <v>23240.35853377376</v>
      </c>
      <c r="L227" s="20"/>
      <c r="M227" s="20"/>
      <c r="N227" s="20"/>
      <c r="O227" s="21"/>
    </row>
    <row r="228" spans="4:15" x14ac:dyDescent="0.25">
      <c r="D228" s="19"/>
      <c r="E228" s="20"/>
      <c r="F228" s="20"/>
      <c r="G228" s="20"/>
      <c r="H228" s="4" t="s">
        <v>8</v>
      </c>
      <c r="I228" s="5">
        <f>IF($F$9&lt;&gt;"Annual",$F$10,0)</f>
        <v>11100.295724080675</v>
      </c>
      <c r="J228" s="5">
        <f t="shared" si="27"/>
        <v>3216666.990037703</v>
      </c>
      <c r="K228" s="6">
        <f t="shared" si="26"/>
        <v>23320.835677773342</v>
      </c>
      <c r="L228" s="20"/>
      <c r="M228" s="20"/>
      <c r="N228" s="20"/>
      <c r="O228" s="21"/>
    </row>
    <row r="229" spans="4:15" x14ac:dyDescent="0.25">
      <c r="D229" s="19"/>
      <c r="E229" s="20"/>
      <c r="F229" s="20"/>
      <c r="G229" s="20"/>
      <c r="H229" s="4" t="s">
        <v>9</v>
      </c>
      <c r="I229" s="5">
        <f>IF($F$9="Monthly",$F$10,0)</f>
        <v>11100.295724080675</v>
      </c>
      <c r="J229" s="5">
        <f t="shared" si="27"/>
        <v>3227767.2857617838</v>
      </c>
      <c r="K229" s="6">
        <f t="shared" si="26"/>
        <v>23401.312821772928</v>
      </c>
      <c r="L229" s="20"/>
      <c r="M229" s="20"/>
      <c r="N229" s="20"/>
      <c r="O229" s="21"/>
    </row>
    <row r="230" spans="4:15" x14ac:dyDescent="0.25">
      <c r="D230" s="19"/>
      <c r="E230" s="20"/>
      <c r="F230" s="20"/>
      <c r="G230" s="20"/>
      <c r="H230" s="4" t="s">
        <v>10</v>
      </c>
      <c r="I230" s="5">
        <f>IF($F$9="Monthly",$F$10,0)</f>
        <v>11100.295724080675</v>
      </c>
      <c r="J230" s="5">
        <f t="shared" si="27"/>
        <v>3238867.5814858647</v>
      </c>
      <c r="K230" s="6">
        <f t="shared" si="26"/>
        <v>23481.789965772517</v>
      </c>
      <c r="L230" s="20"/>
      <c r="M230" s="20"/>
      <c r="N230" s="20"/>
      <c r="O230" s="21"/>
    </row>
    <row r="231" spans="4:15" x14ac:dyDescent="0.25">
      <c r="D231" s="19"/>
      <c r="E231" s="20"/>
      <c r="F231" s="20"/>
      <c r="G231" s="20"/>
      <c r="H231" s="4" t="s">
        <v>11</v>
      </c>
      <c r="I231" s="5">
        <f>IF(OR($F$9="Monthly",$F$9="Quarterly"),$F$10,0)</f>
        <v>11100.295724080675</v>
      </c>
      <c r="J231" s="5">
        <f t="shared" si="27"/>
        <v>3249967.8772099456</v>
      </c>
      <c r="K231" s="6">
        <f t="shared" si="26"/>
        <v>23562.267109772103</v>
      </c>
      <c r="L231" s="20"/>
      <c r="M231" s="20"/>
      <c r="N231" s="20"/>
      <c r="O231" s="21"/>
    </row>
    <row r="232" spans="4:15" x14ac:dyDescent="0.25">
      <c r="D232" s="19"/>
      <c r="E232" s="20"/>
      <c r="F232" s="20"/>
      <c r="G232" s="20"/>
      <c r="H232" s="4" t="s">
        <v>12</v>
      </c>
      <c r="I232" s="5">
        <f>IF($F$9="Monthly",$F$10,0)</f>
        <v>11100.295724080675</v>
      </c>
      <c r="J232" s="5">
        <f t="shared" si="27"/>
        <v>3261068.1729340265</v>
      </c>
      <c r="K232" s="6">
        <f t="shared" si="26"/>
        <v>23642.744253771689</v>
      </c>
      <c r="L232" s="20"/>
      <c r="M232" s="20"/>
      <c r="N232" s="20"/>
      <c r="O232" s="21"/>
    </row>
    <row r="233" spans="4:15" x14ac:dyDescent="0.25">
      <c r="D233" s="19"/>
      <c r="E233" s="20"/>
      <c r="F233" s="20"/>
      <c r="G233" s="20"/>
      <c r="H233" s="4" t="s">
        <v>13</v>
      </c>
      <c r="I233" s="5">
        <f>IF($F$9="Monthly",$F$10,0)</f>
        <v>11100.295724080675</v>
      </c>
      <c r="J233" s="5">
        <f t="shared" si="27"/>
        <v>3272168.4686581073</v>
      </c>
      <c r="K233" s="6">
        <f t="shared" si="26"/>
        <v>23723.221397771278</v>
      </c>
      <c r="L233" s="20"/>
      <c r="M233" s="20"/>
      <c r="N233" s="20"/>
      <c r="O233" s="21"/>
    </row>
    <row r="234" spans="4:15" x14ac:dyDescent="0.25">
      <c r="D234" s="19"/>
      <c r="E234" s="20"/>
      <c r="F234" s="20"/>
      <c r="G234" s="20"/>
      <c r="H234" s="7" t="s">
        <v>21</v>
      </c>
      <c r="I234" s="9"/>
      <c r="J234" s="9">
        <f>J233+SUM(K222:K233)</f>
        <v>3551535.63392739</v>
      </c>
      <c r="K234" s="10"/>
      <c r="L234" s="20"/>
      <c r="M234" s="20"/>
      <c r="N234" s="20"/>
      <c r="O234" s="21"/>
    </row>
    <row r="235" spans="4:15" x14ac:dyDescent="0.25">
      <c r="D235" s="19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1"/>
    </row>
    <row r="236" spans="4:15" x14ac:dyDescent="0.25">
      <c r="D236" s="19"/>
      <c r="E236" s="20"/>
      <c r="F236" s="20"/>
      <c r="G236" s="20"/>
      <c r="H236" s="114" t="s">
        <v>31</v>
      </c>
      <c r="I236" s="115"/>
      <c r="J236" s="115"/>
      <c r="K236" s="116"/>
      <c r="L236" s="20"/>
      <c r="M236" s="20"/>
      <c r="N236" s="20"/>
      <c r="O236" s="21"/>
    </row>
    <row r="237" spans="4:15" x14ac:dyDescent="0.25">
      <c r="D237" s="19"/>
      <c r="E237" s="20"/>
      <c r="F237" s="20"/>
      <c r="G237" s="20"/>
      <c r="H237" s="1" t="s">
        <v>1</v>
      </c>
      <c r="I237" s="2" t="s">
        <v>14</v>
      </c>
      <c r="J237" s="2" t="s">
        <v>0</v>
      </c>
      <c r="K237" s="3" t="s">
        <v>15</v>
      </c>
      <c r="L237" s="20"/>
      <c r="M237" s="20"/>
      <c r="N237" s="20"/>
      <c r="O237" s="21"/>
    </row>
    <row r="238" spans="4:15" x14ac:dyDescent="0.25">
      <c r="D238" s="19"/>
      <c r="E238" s="20"/>
      <c r="F238" s="20"/>
      <c r="G238" s="20"/>
      <c r="H238" s="4" t="s">
        <v>2</v>
      </c>
      <c r="I238" s="5">
        <f>$F$10</f>
        <v>11100.295724080675</v>
      </c>
      <c r="J238" s="5">
        <f>I238+J234</f>
        <v>3562635.9296514709</v>
      </c>
      <c r="K238" s="6">
        <f t="shared" ref="K238:K249" si="28">J238*$K$9/12</f>
        <v>25829.110489973162</v>
      </c>
      <c r="L238" s="20"/>
      <c r="M238" s="20"/>
      <c r="N238" s="20"/>
      <c r="O238" s="21"/>
    </row>
    <row r="239" spans="4:15" x14ac:dyDescent="0.25">
      <c r="D239" s="19"/>
      <c r="E239" s="20"/>
      <c r="F239" s="20"/>
      <c r="G239" s="20"/>
      <c r="H239" s="4" t="s">
        <v>3</v>
      </c>
      <c r="I239" s="5">
        <f>IF($F$9="Monthly",$F$10,0)</f>
        <v>11100.295724080675</v>
      </c>
      <c r="J239" s="5">
        <f>I239+J238</f>
        <v>3573736.2253755517</v>
      </c>
      <c r="K239" s="6">
        <f t="shared" si="28"/>
        <v>25909.587633972751</v>
      </c>
      <c r="L239" s="20"/>
      <c r="M239" s="20"/>
      <c r="N239" s="20"/>
      <c r="O239" s="21"/>
    </row>
    <row r="240" spans="4:15" x14ac:dyDescent="0.25">
      <c r="D240" s="19"/>
      <c r="E240" s="20"/>
      <c r="F240" s="20"/>
      <c r="G240" s="20"/>
      <c r="H240" s="4" t="s">
        <v>4</v>
      </c>
      <c r="I240" s="5">
        <f>IF($F$9="Monthly",$F$10,0)</f>
        <v>11100.295724080675</v>
      </c>
      <c r="J240" s="5">
        <f t="shared" ref="J240:J249" si="29">I240+J239</f>
        <v>3584836.5210996326</v>
      </c>
      <c r="K240" s="6">
        <f t="shared" si="28"/>
        <v>25990.064777972337</v>
      </c>
      <c r="L240" s="20"/>
      <c r="M240" s="20"/>
      <c r="N240" s="20"/>
      <c r="O240" s="21"/>
    </row>
    <row r="241" spans="4:15" x14ac:dyDescent="0.25">
      <c r="D241" s="19"/>
      <c r="E241" s="20"/>
      <c r="F241" s="20"/>
      <c r="G241" s="20"/>
      <c r="H241" s="4" t="s">
        <v>5</v>
      </c>
      <c r="I241" s="5">
        <f>IF(OR($F$9="Monthly",$F$9="Quarterly"),$F$10,0)</f>
        <v>11100.295724080675</v>
      </c>
      <c r="J241" s="5">
        <f t="shared" si="29"/>
        <v>3595936.8168237135</v>
      </c>
      <c r="K241" s="6">
        <f t="shared" si="28"/>
        <v>26070.541921971919</v>
      </c>
      <c r="L241" s="20"/>
      <c r="M241" s="20"/>
      <c r="N241" s="20"/>
      <c r="O241" s="21"/>
    </row>
    <row r="242" spans="4:15" x14ac:dyDescent="0.25">
      <c r="D242" s="19"/>
      <c r="E242" s="20"/>
      <c r="F242" s="20"/>
      <c r="G242" s="20"/>
      <c r="H242" s="4" t="s">
        <v>6</v>
      </c>
      <c r="I242" s="5">
        <f>IF($F$9="Monthly",$F$10,0)</f>
        <v>11100.295724080675</v>
      </c>
      <c r="J242" s="5">
        <f t="shared" si="29"/>
        <v>3607037.1125477944</v>
      </c>
      <c r="K242" s="6">
        <f t="shared" si="28"/>
        <v>26151.019065971504</v>
      </c>
      <c r="L242" s="20"/>
      <c r="M242" s="20"/>
      <c r="N242" s="20"/>
      <c r="O242" s="21"/>
    </row>
    <row r="243" spans="4:15" x14ac:dyDescent="0.25">
      <c r="D243" s="19"/>
      <c r="E243" s="20"/>
      <c r="F243" s="20"/>
      <c r="G243" s="20"/>
      <c r="H243" s="4" t="s">
        <v>7</v>
      </c>
      <c r="I243" s="5">
        <f>IF($F$9="Monthly",$F$10,0)</f>
        <v>11100.295724080675</v>
      </c>
      <c r="J243" s="5">
        <f t="shared" si="29"/>
        <v>3618137.4082718752</v>
      </c>
      <c r="K243" s="6">
        <f t="shared" si="28"/>
        <v>26231.496209971094</v>
      </c>
      <c r="L243" s="20"/>
      <c r="M243" s="20"/>
      <c r="N243" s="20"/>
      <c r="O243" s="21"/>
    </row>
    <row r="244" spans="4:15" x14ac:dyDescent="0.25">
      <c r="D244" s="19"/>
      <c r="E244" s="20"/>
      <c r="F244" s="20"/>
      <c r="G244" s="20"/>
      <c r="H244" s="4" t="s">
        <v>8</v>
      </c>
      <c r="I244" s="5">
        <f>IF($F$9&lt;&gt;"Annual",$F$10,0)</f>
        <v>11100.295724080675</v>
      </c>
      <c r="J244" s="5">
        <f t="shared" si="29"/>
        <v>3629237.7039959561</v>
      </c>
      <c r="K244" s="6">
        <f t="shared" si="28"/>
        <v>26311.973353970679</v>
      </c>
      <c r="L244" s="20"/>
      <c r="M244" s="20"/>
      <c r="N244" s="20"/>
      <c r="O244" s="21"/>
    </row>
    <row r="245" spans="4:15" x14ac:dyDescent="0.25">
      <c r="D245" s="19"/>
      <c r="E245" s="20"/>
      <c r="F245" s="20"/>
      <c r="G245" s="20"/>
      <c r="H245" s="4" t="s">
        <v>9</v>
      </c>
      <c r="I245" s="5">
        <f>IF($F$9="Monthly",$F$10,0)</f>
        <v>11100.295724080675</v>
      </c>
      <c r="J245" s="5">
        <f t="shared" si="29"/>
        <v>3640337.999720037</v>
      </c>
      <c r="K245" s="6">
        <f t="shared" si="28"/>
        <v>26392.450497970265</v>
      </c>
      <c r="L245" s="20"/>
      <c r="M245" s="20"/>
      <c r="N245" s="20"/>
      <c r="O245" s="21"/>
    </row>
    <row r="246" spans="4:15" x14ac:dyDescent="0.25">
      <c r="D246" s="19"/>
      <c r="E246" s="20"/>
      <c r="F246" s="20"/>
      <c r="G246" s="20"/>
      <c r="H246" s="4" t="s">
        <v>10</v>
      </c>
      <c r="I246" s="5">
        <f>IF($F$9="Monthly",$F$10,0)</f>
        <v>11100.295724080675</v>
      </c>
      <c r="J246" s="5">
        <f t="shared" si="29"/>
        <v>3651438.2954441179</v>
      </c>
      <c r="K246" s="6">
        <f t="shared" si="28"/>
        <v>26472.927641969854</v>
      </c>
      <c r="L246" s="20"/>
      <c r="M246" s="20"/>
      <c r="N246" s="20"/>
      <c r="O246" s="21"/>
    </row>
    <row r="247" spans="4:15" x14ac:dyDescent="0.25">
      <c r="D247" s="19"/>
      <c r="E247" s="20"/>
      <c r="F247" s="20"/>
      <c r="G247" s="20"/>
      <c r="H247" s="4" t="s">
        <v>11</v>
      </c>
      <c r="I247" s="5">
        <f>IF(OR($F$9="Monthly",$F$9="Quarterly"),$F$10,0)</f>
        <v>11100.295724080675</v>
      </c>
      <c r="J247" s="5">
        <f t="shared" si="29"/>
        <v>3662538.5911681987</v>
      </c>
      <c r="K247" s="6">
        <f t="shared" si="28"/>
        <v>26553.40478596944</v>
      </c>
      <c r="L247" s="20"/>
      <c r="M247" s="20"/>
      <c r="N247" s="20"/>
      <c r="O247" s="21"/>
    </row>
    <row r="248" spans="4:15" x14ac:dyDescent="0.25">
      <c r="D248" s="19"/>
      <c r="E248" s="20"/>
      <c r="F248" s="20"/>
      <c r="G248" s="20"/>
      <c r="H248" s="4" t="s">
        <v>12</v>
      </c>
      <c r="I248" s="5">
        <f>IF($F$9="Monthly",$F$10,0)</f>
        <v>11100.295724080675</v>
      </c>
      <c r="J248" s="5">
        <f t="shared" si="29"/>
        <v>3673638.8868922796</v>
      </c>
      <c r="K248" s="6">
        <f t="shared" si="28"/>
        <v>26633.881929969026</v>
      </c>
      <c r="L248" s="20"/>
      <c r="M248" s="20"/>
      <c r="N248" s="20"/>
      <c r="O248" s="21"/>
    </row>
    <row r="249" spans="4:15" x14ac:dyDescent="0.25">
      <c r="D249" s="19"/>
      <c r="E249" s="20"/>
      <c r="F249" s="20"/>
      <c r="G249" s="20"/>
      <c r="H249" s="4" t="s">
        <v>13</v>
      </c>
      <c r="I249" s="5">
        <f>IF($F$9="Monthly",$F$10,0)</f>
        <v>11100.295724080675</v>
      </c>
      <c r="J249" s="5">
        <f t="shared" si="29"/>
        <v>3684739.1826163605</v>
      </c>
      <c r="K249" s="6">
        <f t="shared" si="28"/>
        <v>26714.359073968615</v>
      </c>
      <c r="L249" s="20"/>
      <c r="M249" s="20"/>
      <c r="N249" s="20"/>
      <c r="O249" s="21"/>
    </row>
    <row r="250" spans="4:15" x14ac:dyDescent="0.25">
      <c r="D250" s="19"/>
      <c r="E250" s="20"/>
      <c r="F250" s="20"/>
      <c r="G250" s="20"/>
      <c r="H250" s="7" t="s">
        <v>21</v>
      </c>
      <c r="I250" s="9"/>
      <c r="J250" s="9">
        <f>J249+SUM(K238:K249)</f>
        <v>4000000.0000000112</v>
      </c>
      <c r="K250" s="10"/>
      <c r="L250" s="20"/>
      <c r="M250" s="20"/>
      <c r="N250" s="20"/>
      <c r="O250" s="21"/>
    </row>
    <row r="251" spans="4:15" x14ac:dyDescent="0.25">
      <c r="D251" s="19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1"/>
    </row>
    <row r="252" spans="4:15" ht="16.5" thickBot="1" x14ac:dyDescent="0.3">
      <c r="D252" s="22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4"/>
    </row>
  </sheetData>
  <mergeCells count="21">
    <mergeCell ref="H236:K236"/>
    <mergeCell ref="H108:K108"/>
    <mergeCell ref="H124:K124"/>
    <mergeCell ref="H140:K140"/>
    <mergeCell ref="H156:K156"/>
    <mergeCell ref="H172:K172"/>
    <mergeCell ref="H188:K188"/>
    <mergeCell ref="E13:F15"/>
    <mergeCell ref="H204:K204"/>
    <mergeCell ref="H220:K220"/>
    <mergeCell ref="H92:K92"/>
    <mergeCell ref="H12:K12"/>
    <mergeCell ref="H28:K28"/>
    <mergeCell ref="H60:K60"/>
    <mergeCell ref="H44:K44"/>
    <mergeCell ref="H76:K76"/>
    <mergeCell ref="D2:O3"/>
    <mergeCell ref="M8:N8"/>
    <mergeCell ref="E8:F8"/>
    <mergeCell ref="H8:K8"/>
    <mergeCell ref="H9:J9"/>
  </mergeCells>
  <phoneticPr fontId="0" type="noConversion"/>
  <dataValidations count="1">
    <dataValidation type="list" allowBlank="1" showInputMessage="1" showErrorMessage="1" sqref="F9" xr:uid="{00000000-0002-0000-0000-000000000000}">
      <formula1>"Monthly,Quarterly,Half-Yearly,Annual"</formula1>
    </dataValidation>
  </dataValidations>
  <pageMargins left="0.7" right="0.7" top="0.75" bottom="0.75" header="0.3" footer="0.3"/>
  <ignoredErrors>
    <ignoredError sqref="I17:I23 I33:I39 I49:I55 I65:I71 I81:I87 I97:I103 I113:I119 I129:I135 I145:I151 I161:I167 I177:I183 I193:I199 I209:I215 I225:I231 I241:I247" formula="1"/>
  </ignoredErrors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2"/>
  <sheetViews>
    <sheetView workbookViewId="0">
      <selection activeCell="F11" sqref="F11"/>
    </sheetView>
  </sheetViews>
  <sheetFormatPr defaultRowHeight="15.75" x14ac:dyDescent="0.25"/>
  <cols>
    <col min="5" max="5" width="14" bestFit="1" customWidth="1"/>
    <col min="6" max="6" width="8.875" bestFit="1" customWidth="1"/>
    <col min="9" max="9" width="11.375" bestFit="1" customWidth="1"/>
    <col min="11" max="16" width="0" hidden="1" customWidth="1"/>
  </cols>
  <sheetData>
    <row r="1" spans="1:15" x14ac:dyDescent="0.25">
      <c r="A1" s="58" t="s">
        <v>51</v>
      </c>
      <c r="L1" t="str">
        <f>'PPF Calculator'!F9</f>
        <v>Monthly</v>
      </c>
      <c r="N1" t="s">
        <v>39</v>
      </c>
      <c r="O1">
        <v>12</v>
      </c>
    </row>
    <row r="2" spans="1:15" x14ac:dyDescent="0.25">
      <c r="A2" s="59" t="s">
        <v>52</v>
      </c>
      <c r="L2">
        <f>INDEX(N1:O4,MATCH(L1,N1:N4,0),2)</f>
        <v>12</v>
      </c>
      <c r="N2" t="s">
        <v>59</v>
      </c>
      <c r="O2">
        <v>4</v>
      </c>
    </row>
    <row r="3" spans="1:15" x14ac:dyDescent="0.25">
      <c r="A3" s="20"/>
      <c r="N3" t="s">
        <v>60</v>
      </c>
      <c r="O3">
        <v>2</v>
      </c>
    </row>
    <row r="4" spans="1:15" x14ac:dyDescent="0.25">
      <c r="A4" t="s">
        <v>53</v>
      </c>
      <c r="B4" t="s">
        <v>54</v>
      </c>
      <c r="E4" s="61">
        <v>4000000</v>
      </c>
      <c r="F4" t="s">
        <v>61</v>
      </c>
      <c r="I4" s="61">
        <v>150000</v>
      </c>
      <c r="N4" t="s">
        <v>50</v>
      </c>
      <c r="O4">
        <v>1</v>
      </c>
    </row>
    <row r="6" spans="1:15" x14ac:dyDescent="0.25">
      <c r="A6" t="s">
        <v>55</v>
      </c>
      <c r="B6" t="s">
        <v>57</v>
      </c>
    </row>
    <row r="8" spans="1:15" x14ac:dyDescent="0.25">
      <c r="A8" t="s">
        <v>56</v>
      </c>
    </row>
    <row r="11" spans="1:15" x14ac:dyDescent="0.25">
      <c r="A11" t="s">
        <v>58</v>
      </c>
      <c r="F11" s="62">
        <v>11100.295724080675</v>
      </c>
    </row>
    <row r="12" spans="1:15" x14ac:dyDescent="0.25">
      <c r="A12" s="63" t="str">
        <f>IF(F11*L2&gt;I4, "Answer is above investment limit. Choose lower maturity value and repeat step 3","")</f>
        <v/>
      </c>
      <c r="B12" s="64"/>
      <c r="C12" s="64"/>
      <c r="D12" s="64"/>
      <c r="E12" s="64"/>
      <c r="F12" s="64"/>
      <c r="G12" s="64"/>
      <c r="H12" s="64"/>
      <c r="I12" s="6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D1:AD253"/>
  <sheetViews>
    <sheetView showGridLines="0" topLeftCell="B7" zoomScale="80" zoomScaleNormal="80" workbookViewId="0">
      <selection activeCell="E18" sqref="E18"/>
    </sheetView>
  </sheetViews>
  <sheetFormatPr defaultRowHeight="15.75" x14ac:dyDescent="0.25"/>
  <cols>
    <col min="1" max="4" width="4.625" style="25" customWidth="1"/>
    <col min="5" max="5" width="18.875" style="25" bestFit="1" customWidth="1"/>
    <col min="6" max="6" width="10.375" style="25" bestFit="1" customWidth="1"/>
    <col min="7" max="7" width="10.375" style="25" customWidth="1"/>
    <col min="8" max="8" width="9.75" style="25" bestFit="1" customWidth="1"/>
    <col min="9" max="9" width="1.875" style="64" customWidth="1"/>
    <col min="10" max="10" width="9" style="25"/>
    <col min="11" max="11" width="9.375" style="25" bestFit="1" customWidth="1"/>
    <col min="12" max="12" width="11.875" style="25" bestFit="1" customWidth="1"/>
    <col min="13" max="13" width="9.375" style="25" bestFit="1" customWidth="1"/>
    <col min="14" max="14" width="9.375" style="25" hidden="1" customWidth="1"/>
    <col min="15" max="15" width="11.625" style="25" bestFit="1" customWidth="1"/>
    <col min="16" max="16" width="9" style="25"/>
    <col min="17" max="17" width="16.125" style="25" bestFit="1" customWidth="1"/>
    <col min="18" max="18" width="13.875" style="25" customWidth="1"/>
    <col min="19" max="23" width="4.625" style="25" customWidth="1"/>
    <col min="24" max="16384" width="9" style="25"/>
  </cols>
  <sheetData>
    <row r="1" spans="4:30" ht="16.5" customHeight="1" thickBot="1" x14ac:dyDescent="0.3">
      <c r="E1" s="49"/>
      <c r="I1" s="25"/>
      <c r="AD1" s="25" t="s">
        <v>69</v>
      </c>
    </row>
    <row r="2" spans="4:30" ht="16.5" customHeight="1" x14ac:dyDescent="0.25">
      <c r="D2" s="101" t="s">
        <v>41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3"/>
      <c r="AD2" s="25" t="s">
        <v>70</v>
      </c>
    </row>
    <row r="3" spans="4:30" ht="16.5" customHeight="1" thickBot="1" x14ac:dyDescent="0.3">
      <c r="D3" s="104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6"/>
    </row>
    <row r="4" spans="4:30" ht="16.5" customHeight="1" x14ac:dyDescent="0.25">
      <c r="D4" s="16"/>
      <c r="E4" s="17"/>
      <c r="F4" s="17"/>
      <c r="G4" s="17"/>
      <c r="H4" s="17"/>
      <c r="I4" s="67"/>
      <c r="J4" s="56" t="s">
        <v>62</v>
      </c>
      <c r="K4" s="17"/>
      <c r="L4" s="17"/>
      <c r="M4" s="17"/>
      <c r="N4" s="17"/>
      <c r="O4" s="17"/>
      <c r="P4" s="17"/>
      <c r="Q4" s="17"/>
      <c r="R4" s="17"/>
      <c r="S4" s="18"/>
    </row>
    <row r="5" spans="4:30" ht="16.5" customHeight="1" x14ac:dyDescent="0.25">
      <c r="D5" s="16"/>
      <c r="E5" s="57" t="s">
        <v>49</v>
      </c>
      <c r="F5" s="17"/>
      <c r="G5" s="17"/>
      <c r="H5" s="17"/>
      <c r="I5" s="67"/>
      <c r="J5" s="66" t="s">
        <v>63</v>
      </c>
      <c r="K5" s="17"/>
      <c r="L5" s="17"/>
      <c r="M5" s="17"/>
      <c r="N5" s="17"/>
      <c r="O5" s="17"/>
      <c r="P5" s="17"/>
      <c r="Q5" s="17"/>
      <c r="R5" s="17"/>
      <c r="S5" s="18"/>
    </row>
    <row r="6" spans="4:30" ht="16.5" customHeight="1" x14ac:dyDescent="0.25">
      <c r="D6" s="16"/>
      <c r="E6" s="17"/>
      <c r="F6" s="17"/>
      <c r="G6" s="17"/>
      <c r="H6" s="17"/>
      <c r="I6" s="67"/>
      <c r="J6" s="56" t="s">
        <v>64</v>
      </c>
      <c r="K6" s="17"/>
      <c r="L6" s="17"/>
      <c r="M6" s="17"/>
      <c r="N6" s="17"/>
      <c r="O6" s="17"/>
      <c r="P6" s="17"/>
      <c r="Q6" s="17"/>
      <c r="R6" s="17"/>
      <c r="S6" s="18"/>
    </row>
    <row r="7" spans="4:30" ht="16.5" customHeight="1" thickBot="1" x14ac:dyDescent="0.3">
      <c r="D7" s="16"/>
      <c r="E7" s="51"/>
      <c r="F7" s="51"/>
      <c r="G7" s="51"/>
      <c r="H7" s="17"/>
      <c r="I7" s="67"/>
      <c r="J7" s="66" t="s">
        <v>65</v>
      </c>
      <c r="K7" s="17"/>
      <c r="L7" s="17"/>
      <c r="M7" s="17"/>
      <c r="N7" s="17"/>
      <c r="O7" s="17"/>
      <c r="P7" s="17"/>
      <c r="Q7" s="17"/>
      <c r="R7" s="17"/>
      <c r="S7" s="18"/>
    </row>
    <row r="8" spans="4:30" ht="16.5" thickBot="1" x14ac:dyDescent="0.3">
      <c r="D8" s="19"/>
      <c r="E8" s="117"/>
      <c r="F8" s="117"/>
      <c r="G8" s="65"/>
      <c r="H8" s="20"/>
      <c r="I8" s="68"/>
      <c r="J8" s="36" t="s">
        <v>42</v>
      </c>
      <c r="K8" s="37"/>
      <c r="L8" s="38"/>
      <c r="M8" s="35"/>
      <c r="N8" s="65"/>
      <c r="O8" s="65"/>
      <c r="P8" s="20"/>
      <c r="Q8" s="117"/>
      <c r="R8" s="117"/>
      <c r="S8" s="21"/>
    </row>
    <row r="9" spans="4:30" x14ac:dyDescent="0.25">
      <c r="D9" s="19"/>
      <c r="E9" s="52"/>
      <c r="F9" s="52"/>
      <c r="G9" s="52"/>
      <c r="H9" s="20"/>
      <c r="I9" s="68"/>
      <c r="J9" s="40" t="s">
        <v>43</v>
      </c>
      <c r="K9" s="40"/>
      <c r="L9" s="40"/>
      <c r="M9" s="39"/>
      <c r="N9" s="81"/>
      <c r="O9" s="65"/>
      <c r="P9" s="20"/>
      <c r="Q9" s="47"/>
      <c r="R9" s="48"/>
      <c r="S9" s="21"/>
    </row>
    <row r="10" spans="4:30" x14ac:dyDescent="0.25">
      <c r="D10" s="19"/>
      <c r="E10" s="52"/>
      <c r="F10" s="53"/>
      <c r="G10" s="53"/>
      <c r="H10" s="20"/>
      <c r="I10" s="68"/>
      <c r="J10" s="20"/>
      <c r="K10" s="20"/>
      <c r="L10" s="20"/>
      <c r="M10" s="20"/>
      <c r="N10" s="20"/>
      <c r="O10" s="20"/>
      <c r="P10" s="20"/>
      <c r="Q10" s="20"/>
      <c r="R10" s="20"/>
      <c r="S10" s="21"/>
    </row>
    <row r="11" spans="4:30" x14ac:dyDescent="0.25">
      <c r="D11" s="19"/>
      <c r="E11" s="20"/>
      <c r="F11" s="20"/>
      <c r="G11" s="20"/>
      <c r="H11" s="20"/>
      <c r="I11" s="68"/>
      <c r="J11" s="20"/>
      <c r="K11" s="20"/>
      <c r="L11" s="20"/>
      <c r="M11" s="20"/>
      <c r="N11" s="20"/>
      <c r="O11" s="20"/>
      <c r="P11" s="20"/>
      <c r="Q11" s="20"/>
      <c r="R11" s="20"/>
      <c r="S11" s="21"/>
    </row>
    <row r="12" spans="4:30" x14ac:dyDescent="0.25">
      <c r="D12" s="19"/>
      <c r="E12" s="20" t="s">
        <v>45</v>
      </c>
      <c r="F12" s="20"/>
      <c r="G12" s="20"/>
      <c r="H12" s="20"/>
      <c r="I12" s="68"/>
      <c r="J12" s="114" t="s">
        <v>44</v>
      </c>
      <c r="K12" s="115"/>
      <c r="L12" s="115"/>
      <c r="M12" s="116"/>
      <c r="N12" s="75"/>
      <c r="O12" s="75"/>
      <c r="P12" s="20"/>
      <c r="Q12" s="20"/>
      <c r="R12" s="20"/>
      <c r="S12" s="21"/>
    </row>
    <row r="13" spans="4:30" x14ac:dyDescent="0.25">
      <c r="D13" s="19"/>
      <c r="E13" s="46" t="s">
        <v>46</v>
      </c>
      <c r="F13" s="45"/>
      <c r="G13" s="45"/>
      <c r="H13" s="70" t="s">
        <v>68</v>
      </c>
      <c r="I13" s="68"/>
      <c r="J13" s="1" t="s">
        <v>1</v>
      </c>
      <c r="K13" s="30" t="s">
        <v>14</v>
      </c>
      <c r="L13" s="2" t="s">
        <v>0</v>
      </c>
      <c r="M13" s="3" t="s">
        <v>15</v>
      </c>
      <c r="N13" s="72"/>
      <c r="O13" s="72"/>
      <c r="P13" s="20" t="s">
        <v>38</v>
      </c>
      <c r="Q13" s="20"/>
      <c r="R13" s="20"/>
      <c r="S13" s="21"/>
    </row>
    <row r="14" spans="4:30" x14ac:dyDescent="0.25">
      <c r="D14" s="19"/>
      <c r="E14" s="45"/>
      <c r="F14" s="45"/>
      <c r="G14" s="45"/>
      <c r="H14" s="71" t="s">
        <v>69</v>
      </c>
      <c r="I14" s="69"/>
      <c r="J14" s="28" t="s">
        <v>2</v>
      </c>
      <c r="K14" s="32">
        <v>5000</v>
      </c>
      <c r="L14" s="29">
        <f>$M$9+IF(H14="before 5th",K14,0)</f>
        <v>5000</v>
      </c>
      <c r="M14" s="6">
        <f>L14*$P$14/12</f>
        <v>36.249999999999993</v>
      </c>
      <c r="N14" s="82"/>
      <c r="O14" s="82"/>
      <c r="P14" s="34">
        <v>8.6999999999999994E-2</v>
      </c>
      <c r="Q14" s="20"/>
      <c r="R14" s="20"/>
      <c r="S14" s="21"/>
    </row>
    <row r="15" spans="4:30" x14ac:dyDescent="0.25">
      <c r="D15" s="19"/>
      <c r="E15" s="45"/>
      <c r="F15" s="45"/>
      <c r="G15" s="45"/>
      <c r="H15" s="71" t="s">
        <v>69</v>
      </c>
      <c r="I15" s="68"/>
      <c r="J15" s="28" t="s">
        <v>3</v>
      </c>
      <c r="K15" s="32">
        <v>5000</v>
      </c>
      <c r="L15" s="29">
        <f>SUM($K$14:K14)+$M$9+IF(H15="before 5th",K15,0)</f>
        <v>10000</v>
      </c>
      <c r="M15" s="6">
        <f t="shared" ref="M15:M25" si="0">L15*$P$14/12</f>
        <v>72.499999999999986</v>
      </c>
      <c r="N15" s="73"/>
      <c r="O15" s="73"/>
      <c r="P15" s="20" t="s">
        <v>40</v>
      </c>
      <c r="Q15" s="20"/>
      <c r="R15" s="20"/>
      <c r="S15" s="21"/>
    </row>
    <row r="16" spans="4:30" x14ac:dyDescent="0.25">
      <c r="D16" s="19"/>
      <c r="E16" s="20"/>
      <c r="F16" s="20"/>
      <c r="G16" s="20"/>
      <c r="H16" s="71" t="s">
        <v>69</v>
      </c>
      <c r="I16" s="68"/>
      <c r="J16" s="28" t="s">
        <v>4</v>
      </c>
      <c r="K16" s="32">
        <v>5000</v>
      </c>
      <c r="L16" s="29">
        <f>SUM($K$14:K15)+$M$9+IF(H16="before 5th",K16,0)</f>
        <v>15000</v>
      </c>
      <c r="M16" s="6">
        <f t="shared" si="0"/>
        <v>108.75</v>
      </c>
      <c r="N16" s="82"/>
      <c r="O16" s="82"/>
      <c r="P16" s="33">
        <v>150000</v>
      </c>
      <c r="Q16" s="20"/>
      <c r="R16" s="20"/>
      <c r="S16" s="21"/>
    </row>
    <row r="17" spans="4:19" x14ac:dyDescent="0.25">
      <c r="D17" s="19"/>
      <c r="E17" s="20"/>
      <c r="F17" s="20"/>
      <c r="G17" s="20"/>
      <c r="H17" s="71" t="s">
        <v>69</v>
      </c>
      <c r="I17" s="68"/>
      <c r="J17" s="28" t="s">
        <v>5</v>
      </c>
      <c r="K17" s="32">
        <v>5000</v>
      </c>
      <c r="L17" s="29">
        <f>SUM($K$14:K16)+$M$9+IF(H17="before 5th",K17,0)</f>
        <v>20000</v>
      </c>
      <c r="M17" s="6">
        <f t="shared" si="0"/>
        <v>144.99999999999997</v>
      </c>
      <c r="N17" s="73"/>
      <c r="O17" s="73"/>
      <c r="P17" s="42" t="str">
        <f>IF(SUM(K14:K25)&gt;P16,"Warning: total investment exceeds allowed limit","")</f>
        <v/>
      </c>
      <c r="Q17" s="43"/>
      <c r="R17" s="43"/>
      <c r="S17" s="44"/>
    </row>
    <row r="18" spans="4:19" x14ac:dyDescent="0.25">
      <c r="D18" s="19"/>
      <c r="E18" s="20"/>
      <c r="F18" s="20"/>
      <c r="G18" s="20"/>
      <c r="H18" s="71" t="s">
        <v>69</v>
      </c>
      <c r="I18" s="68"/>
      <c r="J18" s="28" t="s">
        <v>6</v>
      </c>
      <c r="K18" s="32">
        <v>5000</v>
      </c>
      <c r="L18" s="29">
        <f>SUM($K$14:K17)+$M$9+IF(H18="before 5th",K18,0)</f>
        <v>25000</v>
      </c>
      <c r="M18" s="6">
        <f t="shared" si="0"/>
        <v>181.25</v>
      </c>
      <c r="N18" s="73"/>
      <c r="O18" s="73"/>
      <c r="P18" s="20"/>
      <c r="Q18" s="20"/>
      <c r="R18" s="20"/>
      <c r="S18" s="21"/>
    </row>
    <row r="19" spans="4:19" x14ac:dyDescent="0.25">
      <c r="D19" s="19"/>
      <c r="E19" s="20"/>
      <c r="F19" s="20"/>
      <c r="G19" s="20"/>
      <c r="H19" s="71" t="s">
        <v>69</v>
      </c>
      <c r="I19" s="68"/>
      <c r="J19" s="28" t="s">
        <v>7</v>
      </c>
      <c r="K19" s="32">
        <v>5000</v>
      </c>
      <c r="L19" s="29">
        <f>SUM($K$14:K18)+$M$9+IF(H19="before 5th",K19,0)</f>
        <v>30000</v>
      </c>
      <c r="M19" s="6">
        <f t="shared" si="0"/>
        <v>217.5</v>
      </c>
      <c r="N19" s="73"/>
      <c r="O19" s="73"/>
      <c r="P19" s="20"/>
      <c r="Q19" s="20"/>
      <c r="R19" s="20"/>
      <c r="S19" s="21"/>
    </row>
    <row r="20" spans="4:19" x14ac:dyDescent="0.25">
      <c r="D20" s="19"/>
      <c r="E20" s="20"/>
      <c r="F20" s="20"/>
      <c r="G20" s="20"/>
      <c r="H20" s="71" t="s">
        <v>69</v>
      </c>
      <c r="I20" s="68"/>
      <c r="J20" s="28" t="s">
        <v>8</v>
      </c>
      <c r="K20" s="32">
        <v>5000</v>
      </c>
      <c r="L20" s="29">
        <f>SUM($K$14:K19)+$M$9+IF(H20="before 5th",K20,0)</f>
        <v>35000</v>
      </c>
      <c r="M20" s="6">
        <f t="shared" si="0"/>
        <v>253.75</v>
      </c>
      <c r="N20" s="73"/>
      <c r="O20" s="73"/>
      <c r="P20" s="20"/>
      <c r="Q20" s="20"/>
      <c r="R20" s="20"/>
      <c r="S20" s="21"/>
    </row>
    <row r="21" spans="4:19" x14ac:dyDescent="0.25">
      <c r="D21" s="19"/>
      <c r="E21" s="20"/>
      <c r="F21" s="20"/>
      <c r="G21" s="20"/>
      <c r="H21" s="71" t="s">
        <v>69</v>
      </c>
      <c r="I21" s="68"/>
      <c r="J21" s="28" t="s">
        <v>9</v>
      </c>
      <c r="K21" s="32">
        <v>5000</v>
      </c>
      <c r="L21" s="29">
        <f>SUM($K$14:K20)+$M$9+IF(H21="before 5th",K21,0)</f>
        <v>40000</v>
      </c>
      <c r="M21" s="6">
        <f t="shared" si="0"/>
        <v>289.99999999999994</v>
      </c>
      <c r="N21" s="73"/>
      <c r="O21" s="73"/>
      <c r="P21" s="20"/>
      <c r="Q21" s="20"/>
      <c r="R21" s="20"/>
      <c r="S21" s="21"/>
    </row>
    <row r="22" spans="4:19" x14ac:dyDescent="0.25">
      <c r="D22" s="19"/>
      <c r="E22" s="20"/>
      <c r="F22" s="20"/>
      <c r="G22" s="20"/>
      <c r="H22" s="71" t="s">
        <v>69</v>
      </c>
      <c r="I22" s="68"/>
      <c r="J22" s="28" t="s">
        <v>10</v>
      </c>
      <c r="K22" s="32">
        <v>5000</v>
      </c>
      <c r="L22" s="29">
        <f>SUM($K$14:K21)+$M$9+IF(H22="before 5th",K22,0)</f>
        <v>45000</v>
      </c>
      <c r="M22" s="6">
        <f t="shared" si="0"/>
        <v>326.24999999999994</v>
      </c>
      <c r="N22" s="73"/>
      <c r="O22" s="73"/>
      <c r="P22" s="20"/>
      <c r="Q22" s="20"/>
      <c r="R22" s="20"/>
      <c r="S22" s="21"/>
    </row>
    <row r="23" spans="4:19" x14ac:dyDescent="0.25">
      <c r="D23" s="19"/>
      <c r="E23" s="20"/>
      <c r="F23" s="20"/>
      <c r="G23" s="20"/>
      <c r="H23" s="71" t="s">
        <v>69</v>
      </c>
      <c r="I23" s="68"/>
      <c r="J23" s="28" t="s">
        <v>11</v>
      </c>
      <c r="K23" s="32">
        <v>5000</v>
      </c>
      <c r="L23" s="29">
        <f>SUM($K$14:K22)+$M$9+IF(H23="before 5th",K23,0)</f>
        <v>50000</v>
      </c>
      <c r="M23" s="6">
        <f t="shared" si="0"/>
        <v>362.5</v>
      </c>
      <c r="N23" s="73"/>
      <c r="O23" s="73"/>
      <c r="P23" s="20"/>
      <c r="Q23" s="20"/>
      <c r="R23" s="20"/>
      <c r="S23" s="21"/>
    </row>
    <row r="24" spans="4:19" x14ac:dyDescent="0.25">
      <c r="D24" s="19"/>
      <c r="E24" s="20"/>
      <c r="F24" s="20"/>
      <c r="G24" s="20"/>
      <c r="H24" s="71" t="s">
        <v>69</v>
      </c>
      <c r="I24" s="68"/>
      <c r="J24" s="28" t="s">
        <v>12</v>
      </c>
      <c r="K24" s="32">
        <v>5000</v>
      </c>
      <c r="L24" s="29">
        <f>SUM($K$14:K23)+$M$9+IF(H24="before 5th",K24,0)</f>
        <v>55000</v>
      </c>
      <c r="M24" s="6">
        <f t="shared" si="0"/>
        <v>398.75</v>
      </c>
      <c r="N24" s="73"/>
      <c r="O24" s="73"/>
      <c r="P24" s="20"/>
      <c r="Q24" s="20"/>
      <c r="R24" s="20"/>
      <c r="S24" s="21"/>
    </row>
    <row r="25" spans="4:19" x14ac:dyDescent="0.25">
      <c r="D25" s="19"/>
      <c r="E25" s="20"/>
      <c r="F25" s="20"/>
      <c r="G25" s="20"/>
      <c r="H25" s="71" t="s">
        <v>69</v>
      </c>
      <c r="I25" s="68"/>
      <c r="J25" s="28" t="s">
        <v>13</v>
      </c>
      <c r="K25" s="32">
        <v>5000</v>
      </c>
      <c r="L25" s="29">
        <f>SUM($K$14:K24)+$M$9+IF(H25="before 5th",K25,0)</f>
        <v>60000</v>
      </c>
      <c r="M25" s="6">
        <f t="shared" si="0"/>
        <v>435</v>
      </c>
      <c r="N25" s="73"/>
      <c r="O25" s="73"/>
      <c r="P25" s="20"/>
      <c r="Q25" s="20"/>
      <c r="R25" s="20"/>
      <c r="S25" s="21"/>
    </row>
    <row r="26" spans="4:19" x14ac:dyDescent="0.25">
      <c r="D26" s="19"/>
      <c r="E26" s="20"/>
      <c r="F26" s="20"/>
      <c r="G26" s="20"/>
      <c r="H26" s="20"/>
      <c r="I26" s="68"/>
      <c r="J26" s="7" t="s">
        <v>21</v>
      </c>
      <c r="K26" s="31"/>
      <c r="L26" s="9">
        <f>SUM(K14:K25)+SUM(M14:M25)+M9</f>
        <v>62827.5</v>
      </c>
      <c r="M26" s="10"/>
      <c r="N26" s="73"/>
      <c r="O26" s="73"/>
      <c r="P26" s="20"/>
      <c r="Q26" s="20"/>
      <c r="R26" s="20"/>
      <c r="S26" s="21"/>
    </row>
    <row r="27" spans="4:19" x14ac:dyDescent="0.25">
      <c r="D27" s="19"/>
      <c r="E27" s="20"/>
      <c r="F27" s="20"/>
      <c r="G27" s="20"/>
      <c r="H27" s="20"/>
      <c r="I27" s="68"/>
      <c r="J27" s="20"/>
      <c r="K27" s="20"/>
      <c r="L27" s="20"/>
      <c r="M27" s="20"/>
      <c r="N27" s="20"/>
      <c r="O27" s="20"/>
      <c r="P27" s="20"/>
      <c r="Q27" s="20"/>
      <c r="R27" s="20"/>
      <c r="S27" s="21"/>
    </row>
    <row r="28" spans="4:19" x14ac:dyDescent="0.25">
      <c r="D28" s="19"/>
      <c r="E28" s="20"/>
      <c r="F28" s="20"/>
      <c r="G28" s="20"/>
      <c r="H28" s="20"/>
      <c r="I28" s="68"/>
      <c r="J28" s="114" t="s">
        <v>17</v>
      </c>
      <c r="K28" s="115"/>
      <c r="L28" s="115"/>
      <c r="M28" s="116"/>
      <c r="N28" s="75"/>
      <c r="O28" s="75"/>
      <c r="P28" s="20"/>
      <c r="Q28" s="20"/>
      <c r="R28" s="20"/>
      <c r="S28" s="21"/>
    </row>
    <row r="29" spans="4:19" x14ac:dyDescent="0.25">
      <c r="D29" s="19"/>
      <c r="E29" s="20"/>
      <c r="F29" s="20"/>
      <c r="G29" s="20"/>
      <c r="H29" s="70" t="s">
        <v>68</v>
      </c>
      <c r="I29" s="68"/>
      <c r="J29" s="1" t="s">
        <v>1</v>
      </c>
      <c r="K29" s="2" t="s">
        <v>14</v>
      </c>
      <c r="L29" s="2" t="s">
        <v>0</v>
      </c>
      <c r="M29" s="3" t="s">
        <v>15</v>
      </c>
      <c r="N29" s="72"/>
      <c r="O29" s="72"/>
      <c r="P29" s="20" t="s">
        <v>38</v>
      </c>
      <c r="Q29" s="20"/>
      <c r="R29" s="20"/>
      <c r="S29" s="21"/>
    </row>
    <row r="30" spans="4:19" x14ac:dyDescent="0.25">
      <c r="D30" s="19"/>
      <c r="E30" s="20"/>
      <c r="F30" s="20"/>
      <c r="G30" s="20"/>
      <c r="H30" s="71" t="s">
        <v>69</v>
      </c>
      <c r="I30" s="68"/>
      <c r="J30" s="4" t="s">
        <v>2</v>
      </c>
      <c r="K30" s="32">
        <v>5000</v>
      </c>
      <c r="L30" s="29">
        <f>$L$26+IF(H30="before 5th",K30,0)</f>
        <v>67827.5</v>
      </c>
      <c r="M30" s="6">
        <f>L30*$P$30/12</f>
        <v>491.74937499999993</v>
      </c>
      <c r="N30" s="82"/>
      <c r="O30" s="82"/>
      <c r="P30" s="34">
        <v>8.6999999999999994E-2</v>
      </c>
      <c r="Q30" s="20"/>
      <c r="R30" s="20"/>
      <c r="S30" s="21"/>
    </row>
    <row r="31" spans="4:19" x14ac:dyDescent="0.25">
      <c r="D31" s="19"/>
      <c r="E31" s="20"/>
      <c r="F31" s="20"/>
      <c r="G31" s="20"/>
      <c r="H31" s="71" t="s">
        <v>69</v>
      </c>
      <c r="I31" s="68"/>
      <c r="J31" s="4" t="s">
        <v>3</v>
      </c>
      <c r="K31" s="32">
        <v>5000</v>
      </c>
      <c r="L31" s="29">
        <f>SUM($K$30:K30)+$L$26+IF(H31="before 5th",K31,0)</f>
        <v>72827.5</v>
      </c>
      <c r="M31" s="6">
        <f t="shared" ref="M31:M41" si="1">L31*$P$30/12</f>
        <v>527.99937499999999</v>
      </c>
      <c r="N31" s="73"/>
      <c r="O31" s="73"/>
      <c r="P31" s="20" t="s">
        <v>40</v>
      </c>
      <c r="Q31" s="20"/>
      <c r="R31" s="20"/>
      <c r="S31" s="21"/>
    </row>
    <row r="32" spans="4:19" x14ac:dyDescent="0.25">
      <c r="D32" s="19"/>
      <c r="E32" s="20"/>
      <c r="F32" s="20"/>
      <c r="G32" s="20"/>
      <c r="H32" s="71" t="s">
        <v>69</v>
      </c>
      <c r="I32" s="68"/>
      <c r="J32" s="4" t="s">
        <v>4</v>
      </c>
      <c r="K32" s="32">
        <v>5000</v>
      </c>
      <c r="L32" s="29">
        <f>SUM($K$30:K31)+$L$26+IF(H32="before 5th",K32,0)</f>
        <v>77827.5</v>
      </c>
      <c r="M32" s="6">
        <f t="shared" si="1"/>
        <v>564.24937499999999</v>
      </c>
      <c r="N32" s="82"/>
      <c r="O32" s="82"/>
      <c r="P32" s="33">
        <v>150000</v>
      </c>
      <c r="Q32" s="20"/>
      <c r="R32" s="20"/>
      <c r="S32" s="21"/>
    </row>
    <row r="33" spans="4:19" x14ac:dyDescent="0.25">
      <c r="D33" s="19"/>
      <c r="E33" s="20"/>
      <c r="F33" s="20"/>
      <c r="G33" s="20"/>
      <c r="H33" s="71" t="s">
        <v>69</v>
      </c>
      <c r="I33" s="68"/>
      <c r="J33" s="4" t="s">
        <v>5</v>
      </c>
      <c r="K33" s="32">
        <v>5000</v>
      </c>
      <c r="L33" s="29">
        <f>SUM($K$30:K32)+$L$26+IF(H33="before 5th",K33,0)</f>
        <v>82827.5</v>
      </c>
      <c r="M33" s="6">
        <f t="shared" si="1"/>
        <v>600.49937499999999</v>
      </c>
      <c r="N33" s="73"/>
      <c r="O33" s="73"/>
      <c r="P33" s="41" t="str">
        <f>IF(SUM(K30:K41)&gt;P32,"Warning: total investment exceeds allowed limit","")</f>
        <v/>
      </c>
      <c r="Q33" s="49"/>
      <c r="R33" s="49"/>
      <c r="S33" s="50"/>
    </row>
    <row r="34" spans="4:19" x14ac:dyDescent="0.25">
      <c r="D34" s="19"/>
      <c r="E34" s="20"/>
      <c r="F34" s="20"/>
      <c r="G34" s="20"/>
      <c r="H34" s="71" t="s">
        <v>69</v>
      </c>
      <c r="I34" s="68"/>
      <c r="J34" s="4" t="s">
        <v>6</v>
      </c>
      <c r="K34" s="32">
        <v>5000</v>
      </c>
      <c r="L34" s="29">
        <f>SUM($K$30:K33)+$L$26+IF(H34="before 5th",K34,0)</f>
        <v>87827.5</v>
      </c>
      <c r="M34" s="6">
        <f t="shared" si="1"/>
        <v>636.74937499999999</v>
      </c>
      <c r="N34" s="73"/>
      <c r="O34" s="73"/>
      <c r="P34" s="20"/>
      <c r="Q34" s="20"/>
      <c r="R34" s="20"/>
      <c r="S34" s="21"/>
    </row>
    <row r="35" spans="4:19" x14ac:dyDescent="0.25">
      <c r="D35" s="19"/>
      <c r="E35" s="20"/>
      <c r="F35" s="20"/>
      <c r="G35" s="20"/>
      <c r="H35" s="71" t="s">
        <v>69</v>
      </c>
      <c r="I35" s="68"/>
      <c r="J35" s="4" t="s">
        <v>7</v>
      </c>
      <c r="K35" s="32">
        <v>5000</v>
      </c>
      <c r="L35" s="29">
        <f>SUM($K$30:K34)+$L$26+IF(H35="before 5th",K35,0)</f>
        <v>92827.5</v>
      </c>
      <c r="M35" s="6">
        <f t="shared" si="1"/>
        <v>672.99937499999999</v>
      </c>
      <c r="N35" s="73"/>
      <c r="O35" s="73"/>
      <c r="P35" s="20"/>
      <c r="Q35" s="20"/>
      <c r="R35" s="20"/>
      <c r="S35" s="21"/>
    </row>
    <row r="36" spans="4:19" x14ac:dyDescent="0.25">
      <c r="D36" s="19"/>
      <c r="E36" s="20"/>
      <c r="F36" s="20"/>
      <c r="G36" s="20"/>
      <c r="H36" s="71" t="s">
        <v>69</v>
      </c>
      <c r="I36" s="68"/>
      <c r="J36" s="4" t="s">
        <v>8</v>
      </c>
      <c r="K36" s="32">
        <v>5000</v>
      </c>
      <c r="L36" s="29">
        <f>SUM($K$30:K35)+$L$26+IF(H36="before 5th",K36,0)</f>
        <v>97827.5</v>
      </c>
      <c r="M36" s="6">
        <f t="shared" si="1"/>
        <v>709.24937499999999</v>
      </c>
      <c r="N36" s="73"/>
      <c r="O36" s="73"/>
      <c r="P36" s="20"/>
      <c r="Q36" s="20"/>
      <c r="R36" s="20"/>
      <c r="S36" s="21"/>
    </row>
    <row r="37" spans="4:19" x14ac:dyDescent="0.25">
      <c r="D37" s="19"/>
      <c r="E37" s="20"/>
      <c r="F37" s="20"/>
      <c r="G37" s="20"/>
      <c r="H37" s="71" t="s">
        <v>69</v>
      </c>
      <c r="I37" s="68"/>
      <c r="J37" s="4" t="s">
        <v>9</v>
      </c>
      <c r="K37" s="32">
        <v>5000</v>
      </c>
      <c r="L37" s="29">
        <f>SUM($K$30:K36)+$L$26+IF(H37="before 5th",K37,0)</f>
        <v>102827.5</v>
      </c>
      <c r="M37" s="6">
        <f t="shared" si="1"/>
        <v>745.49937499999999</v>
      </c>
      <c r="N37" s="73"/>
      <c r="O37" s="73"/>
      <c r="P37" s="20"/>
      <c r="Q37" s="20"/>
      <c r="R37" s="20"/>
      <c r="S37" s="21"/>
    </row>
    <row r="38" spans="4:19" x14ac:dyDescent="0.25">
      <c r="D38" s="19"/>
      <c r="E38" s="20"/>
      <c r="F38" s="20"/>
      <c r="G38" s="20"/>
      <c r="H38" s="71" t="s">
        <v>69</v>
      </c>
      <c r="I38" s="68"/>
      <c r="J38" s="4" t="s">
        <v>10</v>
      </c>
      <c r="K38" s="32">
        <v>5000</v>
      </c>
      <c r="L38" s="29">
        <f>SUM($K$30:K37)+$L$26+IF(H38="before 5th",K38,0)</f>
        <v>107827.5</v>
      </c>
      <c r="M38" s="6">
        <f t="shared" si="1"/>
        <v>781.74937499999987</v>
      </c>
      <c r="N38" s="73"/>
      <c r="O38" s="73"/>
      <c r="P38" s="20"/>
      <c r="Q38" s="20"/>
      <c r="R38" s="20"/>
      <c r="S38" s="21"/>
    </row>
    <row r="39" spans="4:19" x14ac:dyDescent="0.25">
      <c r="D39" s="19"/>
      <c r="E39" s="20"/>
      <c r="F39" s="20"/>
      <c r="G39" s="20"/>
      <c r="H39" s="71" t="s">
        <v>69</v>
      </c>
      <c r="I39" s="68"/>
      <c r="J39" s="4" t="s">
        <v>11</v>
      </c>
      <c r="K39" s="32">
        <v>5000</v>
      </c>
      <c r="L39" s="29">
        <f>SUM($K$30:K38)+$L$26+IF(H39="before 5th",K39,0)</f>
        <v>112827.5</v>
      </c>
      <c r="M39" s="6">
        <f t="shared" si="1"/>
        <v>817.99937499999987</v>
      </c>
      <c r="N39" s="73"/>
      <c r="O39" s="73"/>
      <c r="P39" s="20"/>
      <c r="Q39" s="20"/>
      <c r="R39" s="20"/>
      <c r="S39" s="21"/>
    </row>
    <row r="40" spans="4:19" x14ac:dyDescent="0.25">
      <c r="D40" s="19"/>
      <c r="E40" s="20"/>
      <c r="F40" s="20"/>
      <c r="G40" s="20"/>
      <c r="H40" s="71" t="s">
        <v>69</v>
      </c>
      <c r="I40" s="68"/>
      <c r="J40" s="4" t="s">
        <v>12</v>
      </c>
      <c r="K40" s="32">
        <v>5000</v>
      </c>
      <c r="L40" s="29">
        <f>SUM($K$30:K39)+$L$26+IF(H40="before 5th",K40,0)</f>
        <v>117827.5</v>
      </c>
      <c r="M40" s="6">
        <f t="shared" si="1"/>
        <v>854.24937499999987</v>
      </c>
      <c r="N40" s="73"/>
      <c r="O40" s="73"/>
      <c r="P40" s="20"/>
      <c r="Q40" s="20"/>
      <c r="R40" s="20"/>
      <c r="S40" s="21"/>
    </row>
    <row r="41" spans="4:19" x14ac:dyDescent="0.25">
      <c r="D41" s="19"/>
      <c r="E41" s="20"/>
      <c r="F41" s="20"/>
      <c r="G41" s="20"/>
      <c r="H41" s="71" t="s">
        <v>69</v>
      </c>
      <c r="I41" s="68"/>
      <c r="J41" s="4" t="s">
        <v>13</v>
      </c>
      <c r="K41" s="32">
        <v>5000</v>
      </c>
      <c r="L41" s="29">
        <f>SUM($K$30:K40)+$L$26+IF(H41="before 5th",K41,0)</f>
        <v>122827.5</v>
      </c>
      <c r="M41" s="6">
        <f t="shared" si="1"/>
        <v>890.49937499999987</v>
      </c>
      <c r="N41" s="73"/>
      <c r="O41" s="73"/>
      <c r="P41" s="20"/>
      <c r="Q41" s="20"/>
      <c r="R41" s="20"/>
      <c r="S41" s="21"/>
    </row>
    <row r="42" spans="4:19" x14ac:dyDescent="0.25">
      <c r="D42" s="19"/>
      <c r="E42" s="20"/>
      <c r="F42" s="20"/>
      <c r="G42" s="20"/>
      <c r="H42" s="20"/>
      <c r="I42" s="68"/>
      <c r="J42" s="7" t="s">
        <v>21</v>
      </c>
      <c r="K42" s="9"/>
      <c r="L42" s="9">
        <f>SUM(K30:K41)+SUM(M30:M41)+L26</f>
        <v>131120.99249999999</v>
      </c>
      <c r="M42" s="10"/>
      <c r="N42" s="73"/>
      <c r="O42" s="73"/>
      <c r="P42" s="20"/>
      <c r="Q42" s="20"/>
      <c r="R42" s="20"/>
      <c r="S42" s="21"/>
    </row>
    <row r="43" spans="4:19" x14ac:dyDescent="0.25">
      <c r="D43" s="19"/>
      <c r="E43" s="20"/>
      <c r="F43" s="20"/>
      <c r="G43" s="20"/>
      <c r="H43" s="20"/>
      <c r="I43" s="68"/>
      <c r="J43" s="20"/>
      <c r="K43" s="20"/>
      <c r="L43" s="20"/>
      <c r="M43" s="20"/>
      <c r="N43" s="20"/>
      <c r="O43" s="20"/>
      <c r="P43" s="20"/>
      <c r="Q43" s="20"/>
      <c r="R43" s="20"/>
      <c r="S43" s="21"/>
    </row>
    <row r="44" spans="4:19" x14ac:dyDescent="0.25">
      <c r="D44" s="19" t="str">
        <f>IF($M$9=0,"Loan available for new accounts","")</f>
        <v>Loan available for new accounts</v>
      </c>
      <c r="E44" s="20"/>
      <c r="F44" s="20"/>
      <c r="G44" s="20"/>
      <c r="H44" s="20"/>
      <c r="I44" s="68"/>
      <c r="J44" s="114" t="s">
        <v>18</v>
      </c>
      <c r="K44" s="115"/>
      <c r="L44" s="115"/>
      <c r="M44" s="116"/>
      <c r="N44" s="75"/>
      <c r="O44" s="75"/>
      <c r="P44" s="20"/>
      <c r="Q44" s="20"/>
      <c r="R44" s="20"/>
      <c r="S44" s="21"/>
    </row>
    <row r="45" spans="4:19" x14ac:dyDescent="0.25">
      <c r="D45" s="19" t="str">
        <f>IF($M$9=0,"Loan amount available","")</f>
        <v>Loan amount available</v>
      </c>
      <c r="E45" s="20"/>
      <c r="F45" s="20">
        <f>IF($M$9=0,25%*L26,"")</f>
        <v>15706.875</v>
      </c>
      <c r="G45" s="20"/>
      <c r="H45" s="70" t="s">
        <v>68</v>
      </c>
      <c r="I45" s="68"/>
      <c r="J45" s="1" t="s">
        <v>1</v>
      </c>
      <c r="K45" s="2" t="s">
        <v>14</v>
      </c>
      <c r="L45" s="2" t="s">
        <v>0</v>
      </c>
      <c r="M45" s="3" t="s">
        <v>15</v>
      </c>
      <c r="N45" s="72"/>
      <c r="O45" s="72"/>
      <c r="P45" s="20" t="s">
        <v>38</v>
      </c>
      <c r="Q45" s="20"/>
      <c r="R45" s="20"/>
      <c r="S45" s="21"/>
    </row>
    <row r="46" spans="4:19" x14ac:dyDescent="0.25">
      <c r="D46" s="19"/>
      <c r="E46" s="20"/>
      <c r="F46" s="20"/>
      <c r="G46" s="20"/>
      <c r="H46" s="71" t="s">
        <v>69</v>
      </c>
      <c r="I46" s="68"/>
      <c r="J46" s="4" t="s">
        <v>2</v>
      </c>
      <c r="K46" s="32">
        <v>5000</v>
      </c>
      <c r="L46" s="29">
        <f>$L$42+IF(H46="before 5th",K46,0)</f>
        <v>136120.99249999999</v>
      </c>
      <c r="M46" s="6">
        <f>L46*$P$46/12</f>
        <v>986.8771956249999</v>
      </c>
      <c r="N46" s="82"/>
      <c r="O46" s="82"/>
      <c r="P46" s="34">
        <v>8.6999999999999994E-2</v>
      </c>
      <c r="Q46" s="20"/>
      <c r="R46" s="20"/>
      <c r="S46" s="21"/>
    </row>
    <row r="47" spans="4:19" x14ac:dyDescent="0.25">
      <c r="D47" s="19"/>
      <c r="E47" s="20"/>
      <c r="F47" s="20"/>
      <c r="G47" s="20"/>
      <c r="H47" s="71" t="s">
        <v>69</v>
      </c>
      <c r="I47" s="68"/>
      <c r="J47" s="4" t="s">
        <v>3</v>
      </c>
      <c r="K47" s="32">
        <v>5000</v>
      </c>
      <c r="L47" s="29">
        <f>SUM($K$46:K46)+$L$42+IF(H47="before 5th",K47,0)</f>
        <v>141120.99249999999</v>
      </c>
      <c r="M47" s="6">
        <f t="shared" ref="M47:M57" si="2">L47*$P$46/12</f>
        <v>1023.1271956249999</v>
      </c>
      <c r="N47" s="73"/>
      <c r="O47" s="73"/>
      <c r="P47" s="20" t="s">
        <v>40</v>
      </c>
      <c r="Q47" s="20"/>
      <c r="R47" s="20"/>
      <c r="S47" s="21"/>
    </row>
    <row r="48" spans="4:19" x14ac:dyDescent="0.25">
      <c r="D48" s="19"/>
      <c r="E48" s="20"/>
      <c r="F48" s="20"/>
      <c r="G48" s="20"/>
      <c r="H48" s="71" t="s">
        <v>69</v>
      </c>
      <c r="I48" s="68"/>
      <c r="J48" s="4" t="s">
        <v>4</v>
      </c>
      <c r="K48" s="32">
        <v>5000</v>
      </c>
      <c r="L48" s="29">
        <f>SUM($K$46:K47)+$L$42+IF(H48="before 5th",K48,0)</f>
        <v>146120.99249999999</v>
      </c>
      <c r="M48" s="6">
        <f t="shared" si="2"/>
        <v>1059.377195625</v>
      </c>
      <c r="N48" s="82"/>
      <c r="O48" s="82"/>
      <c r="P48" s="33">
        <v>150000</v>
      </c>
      <c r="Q48" s="20"/>
      <c r="R48" s="20"/>
      <c r="S48" s="21"/>
    </row>
    <row r="49" spans="4:19" x14ac:dyDescent="0.25">
      <c r="D49" s="19"/>
      <c r="E49" s="20"/>
      <c r="F49" s="20"/>
      <c r="G49" s="20"/>
      <c r="H49" s="71" t="s">
        <v>69</v>
      </c>
      <c r="I49" s="68"/>
      <c r="J49" s="4" t="s">
        <v>5</v>
      </c>
      <c r="K49" s="32">
        <v>5000</v>
      </c>
      <c r="L49" s="29">
        <f>SUM($K$46:K48)+$L$42+IF(H49="before 5th",K49,0)</f>
        <v>151120.99249999999</v>
      </c>
      <c r="M49" s="6">
        <f t="shared" si="2"/>
        <v>1095.627195625</v>
      </c>
      <c r="N49" s="73"/>
      <c r="O49" s="73"/>
      <c r="P49" s="41" t="str">
        <f>IF(SUM(K46:K57)&gt;P48,"Warning: total investment exceeds allowed limit","")</f>
        <v/>
      </c>
      <c r="Q49" s="49"/>
      <c r="R49" s="49"/>
      <c r="S49" s="50"/>
    </row>
    <row r="50" spans="4:19" x14ac:dyDescent="0.25">
      <c r="D50" s="19"/>
      <c r="E50" s="20"/>
      <c r="F50" s="20"/>
      <c r="G50" s="20"/>
      <c r="H50" s="71" t="s">
        <v>69</v>
      </c>
      <c r="I50" s="68"/>
      <c r="J50" s="4" t="s">
        <v>6</v>
      </c>
      <c r="K50" s="32">
        <v>5000</v>
      </c>
      <c r="L50" s="29">
        <f>SUM($K$46:K49)+$L$42+IF(H50="before 5th",K50,0)</f>
        <v>156120.99249999999</v>
      </c>
      <c r="M50" s="6">
        <f t="shared" si="2"/>
        <v>1131.877195625</v>
      </c>
      <c r="N50" s="73"/>
      <c r="O50" s="73"/>
      <c r="P50" s="20"/>
      <c r="Q50" s="20"/>
      <c r="R50" s="20"/>
      <c r="S50" s="21"/>
    </row>
    <row r="51" spans="4:19" x14ac:dyDescent="0.25">
      <c r="D51" s="19"/>
      <c r="E51" s="20"/>
      <c r="F51" s="20"/>
      <c r="G51" s="20"/>
      <c r="H51" s="71" t="s">
        <v>69</v>
      </c>
      <c r="I51" s="68"/>
      <c r="J51" s="4" t="s">
        <v>7</v>
      </c>
      <c r="K51" s="32">
        <v>5000</v>
      </c>
      <c r="L51" s="29">
        <f>SUM($K$46:K50)+$L$42+IF(H51="before 5th",K51,0)</f>
        <v>161120.99249999999</v>
      </c>
      <c r="M51" s="6">
        <f t="shared" si="2"/>
        <v>1168.127195625</v>
      </c>
      <c r="N51" s="73"/>
      <c r="O51" s="73"/>
      <c r="P51" s="20"/>
      <c r="Q51" s="20"/>
      <c r="R51" s="20"/>
      <c r="S51" s="21"/>
    </row>
    <row r="52" spans="4:19" x14ac:dyDescent="0.25">
      <c r="D52" s="19"/>
      <c r="E52" s="20"/>
      <c r="F52" s="20"/>
      <c r="G52" s="20"/>
      <c r="H52" s="71" t="s">
        <v>69</v>
      </c>
      <c r="I52" s="68"/>
      <c r="J52" s="4" t="s">
        <v>8</v>
      </c>
      <c r="K52" s="32">
        <v>5000</v>
      </c>
      <c r="L52" s="29">
        <f>SUM($K$46:K51)+$L$42+IF(H52="before 5th",K52,0)</f>
        <v>166120.99249999999</v>
      </c>
      <c r="M52" s="6">
        <f t="shared" si="2"/>
        <v>1204.377195625</v>
      </c>
      <c r="N52" s="73"/>
      <c r="O52" s="73"/>
      <c r="P52" s="20"/>
      <c r="Q52" s="20"/>
      <c r="R52" s="20"/>
      <c r="S52" s="21"/>
    </row>
    <row r="53" spans="4:19" x14ac:dyDescent="0.25">
      <c r="D53" s="19"/>
      <c r="E53" s="20"/>
      <c r="F53" s="20"/>
      <c r="G53" s="20"/>
      <c r="H53" s="71" t="s">
        <v>69</v>
      </c>
      <c r="I53" s="68"/>
      <c r="J53" s="4" t="s">
        <v>9</v>
      </c>
      <c r="K53" s="32">
        <v>5000</v>
      </c>
      <c r="L53" s="29">
        <f>SUM($K$46:K52)+$L$42+IF(H53="before 5th",K53,0)</f>
        <v>171120.99249999999</v>
      </c>
      <c r="M53" s="6">
        <f t="shared" si="2"/>
        <v>1240.627195625</v>
      </c>
      <c r="N53" s="73"/>
      <c r="O53" s="73"/>
      <c r="P53" s="20"/>
      <c r="Q53" s="20"/>
      <c r="R53" s="20"/>
      <c r="S53" s="21"/>
    </row>
    <row r="54" spans="4:19" x14ac:dyDescent="0.25">
      <c r="D54" s="19"/>
      <c r="E54" s="20"/>
      <c r="F54" s="20"/>
      <c r="G54" s="20"/>
      <c r="H54" s="71" t="s">
        <v>69</v>
      </c>
      <c r="I54" s="68"/>
      <c r="J54" s="4" t="s">
        <v>10</v>
      </c>
      <c r="K54" s="32">
        <v>5000</v>
      </c>
      <c r="L54" s="29">
        <f>SUM($K$46:K53)+$L$42+IF(H54="before 5th",K54,0)</f>
        <v>176120.99249999999</v>
      </c>
      <c r="M54" s="6">
        <f t="shared" si="2"/>
        <v>1276.8771956249998</v>
      </c>
      <c r="N54" s="73"/>
      <c r="O54" s="73"/>
      <c r="P54" s="20"/>
      <c r="Q54" s="20"/>
      <c r="R54" s="20"/>
      <c r="S54" s="21"/>
    </row>
    <row r="55" spans="4:19" x14ac:dyDescent="0.25">
      <c r="D55" s="19"/>
      <c r="E55" s="20"/>
      <c r="F55" s="20"/>
      <c r="G55" s="20"/>
      <c r="H55" s="71" t="s">
        <v>69</v>
      </c>
      <c r="I55" s="68"/>
      <c r="J55" s="4" t="s">
        <v>11</v>
      </c>
      <c r="K55" s="32">
        <v>5000</v>
      </c>
      <c r="L55" s="29">
        <f>SUM($K$46:K54)+$L$42+IF(H55="before 5th",K55,0)</f>
        <v>181120.99249999999</v>
      </c>
      <c r="M55" s="6">
        <f t="shared" si="2"/>
        <v>1313.1271956249998</v>
      </c>
      <c r="N55" s="73"/>
      <c r="O55" s="73"/>
      <c r="P55" s="20"/>
      <c r="Q55" s="20"/>
      <c r="R55" s="20"/>
      <c r="S55" s="21"/>
    </row>
    <row r="56" spans="4:19" x14ac:dyDescent="0.25">
      <c r="D56" s="19"/>
      <c r="E56" s="20"/>
      <c r="F56" s="20"/>
      <c r="G56" s="20"/>
      <c r="H56" s="71" t="s">
        <v>69</v>
      </c>
      <c r="I56" s="68"/>
      <c r="J56" s="4" t="s">
        <v>12</v>
      </c>
      <c r="K56" s="32">
        <v>5000</v>
      </c>
      <c r="L56" s="29">
        <f>SUM($K$46:K55)+$L$42+IF(H56="before 5th",K56,0)</f>
        <v>186120.99249999999</v>
      </c>
      <c r="M56" s="6">
        <f t="shared" si="2"/>
        <v>1349.3771956249998</v>
      </c>
      <c r="N56" s="73"/>
      <c r="O56" s="73"/>
      <c r="P56" s="20"/>
      <c r="Q56" s="20"/>
      <c r="R56" s="20"/>
      <c r="S56" s="21"/>
    </row>
    <row r="57" spans="4:19" x14ac:dyDescent="0.25">
      <c r="D57" s="19"/>
      <c r="E57" s="20"/>
      <c r="F57" s="20"/>
      <c r="G57" s="20"/>
      <c r="H57" s="71" t="s">
        <v>69</v>
      </c>
      <c r="I57" s="68"/>
      <c r="J57" s="4" t="s">
        <v>13</v>
      </c>
      <c r="K57" s="32">
        <v>5000</v>
      </c>
      <c r="L57" s="29">
        <f>SUM($K$46:K56)+$L$42+IF(H57="before 5th",K57,0)</f>
        <v>191120.99249999999</v>
      </c>
      <c r="M57" s="6">
        <f t="shared" si="2"/>
        <v>1385.627195625</v>
      </c>
      <c r="N57" s="73"/>
      <c r="O57" s="73"/>
      <c r="P57" s="20"/>
      <c r="Q57" s="20"/>
      <c r="R57" s="20"/>
      <c r="S57" s="21"/>
    </row>
    <row r="58" spans="4:19" x14ac:dyDescent="0.25">
      <c r="D58" s="19"/>
      <c r="E58" s="20"/>
      <c r="F58" s="20"/>
      <c r="G58" s="20"/>
      <c r="H58" s="20"/>
      <c r="I58" s="68"/>
      <c r="J58" s="7" t="s">
        <v>21</v>
      </c>
      <c r="K58" s="9"/>
      <c r="L58" s="9">
        <f>SUM(K46:K57)+SUM(M46:M57)+L42</f>
        <v>205356.01884749997</v>
      </c>
      <c r="M58" s="10"/>
      <c r="N58" s="73"/>
      <c r="O58" s="73"/>
      <c r="P58" s="20"/>
      <c r="Q58" s="20"/>
      <c r="R58" s="20"/>
      <c r="S58" s="21"/>
    </row>
    <row r="59" spans="4:19" x14ac:dyDescent="0.25">
      <c r="D59" s="19"/>
      <c r="E59" s="20"/>
      <c r="F59" s="20"/>
      <c r="G59" s="20"/>
      <c r="H59" s="20"/>
      <c r="I59" s="68"/>
      <c r="J59" s="20"/>
      <c r="K59" s="20"/>
      <c r="L59" s="20"/>
      <c r="M59" s="20"/>
      <c r="N59" s="20"/>
      <c r="O59" s="20"/>
      <c r="P59" s="20"/>
      <c r="Q59" s="20"/>
      <c r="R59" s="20"/>
      <c r="S59" s="21"/>
    </row>
    <row r="60" spans="4:19" x14ac:dyDescent="0.25">
      <c r="D60" s="19" t="str">
        <f>IF($M$9=0,"Loan available for new accounts","")</f>
        <v>Loan available for new accounts</v>
      </c>
      <c r="E60" s="20"/>
      <c r="F60" s="20"/>
      <c r="G60" s="20"/>
      <c r="H60" s="20"/>
      <c r="I60" s="68"/>
      <c r="J60" s="114" t="s">
        <v>19</v>
      </c>
      <c r="K60" s="115"/>
      <c r="L60" s="115"/>
      <c r="M60" s="116"/>
      <c r="N60" s="75"/>
      <c r="O60" s="75"/>
      <c r="P60" s="20"/>
      <c r="Q60" s="20"/>
      <c r="R60" s="20"/>
      <c r="S60" s="21"/>
    </row>
    <row r="61" spans="4:19" x14ac:dyDescent="0.25">
      <c r="D61" s="19" t="str">
        <f>IF($M$9=0,"Loan amount available","")</f>
        <v>Loan amount available</v>
      </c>
      <c r="E61" s="20"/>
      <c r="F61" s="20">
        <f>IF($M$9=0,25%*L42,"")</f>
        <v>32780.248124999998</v>
      </c>
      <c r="G61" s="20"/>
      <c r="H61" s="70" t="s">
        <v>68</v>
      </c>
      <c r="I61" s="68"/>
      <c r="J61" s="1" t="s">
        <v>1</v>
      </c>
      <c r="K61" s="2" t="s">
        <v>14</v>
      </c>
      <c r="L61" s="2" t="s">
        <v>0</v>
      </c>
      <c r="M61" s="3" t="s">
        <v>15</v>
      </c>
      <c r="N61" s="72"/>
      <c r="O61" s="72"/>
      <c r="P61" s="20" t="s">
        <v>38</v>
      </c>
      <c r="Q61" s="20"/>
      <c r="R61" s="20"/>
      <c r="S61" s="21"/>
    </row>
    <row r="62" spans="4:19" x14ac:dyDescent="0.25">
      <c r="D62" s="19"/>
      <c r="E62" s="20"/>
      <c r="F62" s="20"/>
      <c r="G62" s="20"/>
      <c r="H62" s="71" t="s">
        <v>69</v>
      </c>
      <c r="I62" s="68"/>
      <c r="J62" s="4" t="s">
        <v>2</v>
      </c>
      <c r="K62" s="32">
        <v>5000</v>
      </c>
      <c r="L62" s="29">
        <f>$L$58+IF(H62="before 5th",K62,0)</f>
        <v>210356.01884749997</v>
      </c>
      <c r="M62" s="6">
        <f>L62*$P$62/12</f>
        <v>1525.0811366443747</v>
      </c>
      <c r="N62" s="82"/>
      <c r="O62" s="82"/>
      <c r="P62" s="34">
        <v>8.6999999999999994E-2</v>
      </c>
      <c r="Q62" s="20"/>
      <c r="R62" s="20"/>
      <c r="S62" s="21"/>
    </row>
    <row r="63" spans="4:19" x14ac:dyDescent="0.25">
      <c r="D63" s="19"/>
      <c r="E63" s="20"/>
      <c r="F63" s="20"/>
      <c r="G63" s="20"/>
      <c r="H63" s="71" t="s">
        <v>69</v>
      </c>
      <c r="I63" s="68"/>
      <c r="J63" s="4" t="s">
        <v>3</v>
      </c>
      <c r="K63" s="32">
        <v>5000</v>
      </c>
      <c r="L63" s="29">
        <f>SUM($K$62:K62)+$L$58+IF(H63="before 5th",K63,0)</f>
        <v>215356.01884749997</v>
      </c>
      <c r="M63" s="6">
        <f t="shared" ref="M63:M73" si="3">L63*$P$62/12</f>
        <v>1561.3311366443747</v>
      </c>
      <c r="N63" s="73"/>
      <c r="O63" s="73"/>
      <c r="P63" s="20" t="s">
        <v>40</v>
      </c>
      <c r="Q63" s="20"/>
      <c r="R63" s="20"/>
      <c r="S63" s="21"/>
    </row>
    <row r="64" spans="4:19" x14ac:dyDescent="0.25">
      <c r="D64" s="19"/>
      <c r="E64" s="20"/>
      <c r="F64" s="20"/>
      <c r="G64" s="20"/>
      <c r="H64" s="71" t="s">
        <v>69</v>
      </c>
      <c r="I64" s="68"/>
      <c r="J64" s="4" t="s">
        <v>4</v>
      </c>
      <c r="K64" s="32">
        <v>5000</v>
      </c>
      <c r="L64" s="29">
        <f>SUM($K$62:K63)+$L$58+IF(H64="before 5th",K64,0)</f>
        <v>220356.01884749997</v>
      </c>
      <c r="M64" s="6">
        <f t="shared" si="3"/>
        <v>1597.5811366443747</v>
      </c>
      <c r="N64" s="82"/>
      <c r="O64" s="82"/>
      <c r="P64" s="33">
        <v>150000</v>
      </c>
      <c r="Q64" s="20"/>
      <c r="R64" s="20"/>
      <c r="S64" s="21"/>
    </row>
    <row r="65" spans="4:19" x14ac:dyDescent="0.25">
      <c r="D65" s="19"/>
      <c r="E65" s="20"/>
      <c r="F65" s="20"/>
      <c r="G65" s="20"/>
      <c r="H65" s="71" t="s">
        <v>69</v>
      </c>
      <c r="I65" s="68"/>
      <c r="J65" s="4" t="s">
        <v>5</v>
      </c>
      <c r="K65" s="32">
        <v>5000</v>
      </c>
      <c r="L65" s="29">
        <f>SUM($K$62:K64)+$L$58+IF(H65="before 5th",K65,0)</f>
        <v>225356.01884749997</v>
      </c>
      <c r="M65" s="6">
        <f t="shared" si="3"/>
        <v>1633.8311366443747</v>
      </c>
      <c r="N65" s="73"/>
      <c r="O65" s="73"/>
      <c r="P65" s="41" t="str">
        <f>IF(SUM(K62:K73)&gt;P64,"Warning: total investment exceeds allowed limit","")</f>
        <v/>
      </c>
      <c r="Q65" s="49"/>
      <c r="R65" s="49"/>
      <c r="S65" s="50"/>
    </row>
    <row r="66" spans="4:19" x14ac:dyDescent="0.25">
      <c r="D66" s="19"/>
      <c r="E66" s="20"/>
      <c r="F66" s="20"/>
      <c r="G66" s="20"/>
      <c r="H66" s="71" t="s">
        <v>69</v>
      </c>
      <c r="I66" s="68"/>
      <c r="J66" s="4" t="s">
        <v>6</v>
      </c>
      <c r="K66" s="32">
        <v>5000</v>
      </c>
      <c r="L66" s="29">
        <f>SUM($K$62:K65)+$L$58+IF(H66="before 5th",K66,0)</f>
        <v>230356.01884749997</v>
      </c>
      <c r="M66" s="6">
        <f t="shared" si="3"/>
        <v>1670.0811366443747</v>
      </c>
      <c r="N66" s="73"/>
      <c r="O66" s="73"/>
      <c r="P66" s="20"/>
      <c r="Q66" s="20"/>
      <c r="R66" s="20"/>
      <c r="S66" s="21"/>
    </row>
    <row r="67" spans="4:19" x14ac:dyDescent="0.25">
      <c r="D67" s="19"/>
      <c r="E67" s="20"/>
      <c r="F67" s="20"/>
      <c r="G67" s="20"/>
      <c r="H67" s="71" t="s">
        <v>69</v>
      </c>
      <c r="I67" s="68"/>
      <c r="J67" s="4" t="s">
        <v>7</v>
      </c>
      <c r="K67" s="32">
        <v>5000</v>
      </c>
      <c r="L67" s="29">
        <f>SUM($K$62:K66)+$L$58+IF(H67="before 5th",K67,0)</f>
        <v>235356.01884749997</v>
      </c>
      <c r="M67" s="6">
        <f t="shared" si="3"/>
        <v>1706.3311366443747</v>
      </c>
      <c r="N67" s="73"/>
      <c r="O67" s="73"/>
      <c r="P67" s="20"/>
      <c r="Q67" s="20"/>
      <c r="R67" s="20"/>
      <c r="S67" s="21"/>
    </row>
    <row r="68" spans="4:19" x14ac:dyDescent="0.25">
      <c r="D68" s="19"/>
      <c r="E68" s="20"/>
      <c r="F68" s="20"/>
      <c r="G68" s="20"/>
      <c r="H68" s="71" t="s">
        <v>69</v>
      </c>
      <c r="I68" s="68"/>
      <c r="J68" s="4" t="s">
        <v>8</v>
      </c>
      <c r="K68" s="32">
        <v>5000</v>
      </c>
      <c r="L68" s="29">
        <f>SUM($K$62:K67)+$L$58+IF(H68="before 5th",K68,0)</f>
        <v>240356.01884749997</v>
      </c>
      <c r="M68" s="6">
        <f t="shared" si="3"/>
        <v>1742.5811366443747</v>
      </c>
      <c r="N68" s="73"/>
      <c r="O68" s="73"/>
      <c r="P68" s="20"/>
      <c r="Q68" s="20"/>
      <c r="R68" s="20"/>
      <c r="S68" s="21"/>
    </row>
    <row r="69" spans="4:19" x14ac:dyDescent="0.25">
      <c r="D69" s="19"/>
      <c r="E69" s="20"/>
      <c r="F69" s="20"/>
      <c r="G69" s="20"/>
      <c r="H69" s="71" t="s">
        <v>69</v>
      </c>
      <c r="I69" s="68"/>
      <c r="J69" s="4" t="s">
        <v>9</v>
      </c>
      <c r="K69" s="32">
        <v>5000</v>
      </c>
      <c r="L69" s="29">
        <f>SUM($K$62:K68)+$L$58+IF(H69="before 5th",K69,0)</f>
        <v>245356.01884749997</v>
      </c>
      <c r="M69" s="6">
        <f t="shared" si="3"/>
        <v>1778.8311366443747</v>
      </c>
      <c r="N69" s="73"/>
      <c r="O69" s="73"/>
      <c r="P69" s="20"/>
      <c r="Q69" s="20"/>
      <c r="R69" s="20"/>
      <c r="S69" s="21"/>
    </row>
    <row r="70" spans="4:19" x14ac:dyDescent="0.25">
      <c r="D70" s="19"/>
      <c r="E70" s="20"/>
      <c r="F70" s="20"/>
      <c r="G70" s="20"/>
      <c r="H70" s="71" t="s">
        <v>69</v>
      </c>
      <c r="I70" s="68"/>
      <c r="J70" s="4" t="s">
        <v>10</v>
      </c>
      <c r="K70" s="32">
        <v>5000</v>
      </c>
      <c r="L70" s="29">
        <f>SUM($K$62:K69)+$L$58+IF(H70="before 5th",K70,0)</f>
        <v>250356.01884749997</v>
      </c>
      <c r="M70" s="6">
        <f t="shared" si="3"/>
        <v>1815.0811366443747</v>
      </c>
      <c r="N70" s="73"/>
      <c r="O70" s="73"/>
      <c r="P70" s="20"/>
      <c r="Q70" s="20"/>
      <c r="R70" s="20"/>
      <c r="S70" s="21"/>
    </row>
    <row r="71" spans="4:19" x14ac:dyDescent="0.25">
      <c r="D71" s="19"/>
      <c r="E71" s="20"/>
      <c r="F71" s="20"/>
      <c r="G71" s="20"/>
      <c r="H71" s="71" t="s">
        <v>69</v>
      </c>
      <c r="I71" s="68"/>
      <c r="J71" s="4" t="s">
        <v>11</v>
      </c>
      <c r="K71" s="32">
        <v>5000</v>
      </c>
      <c r="L71" s="29">
        <f>SUM($K$62:K70)+$L$58+IF(H71="before 5th",K71,0)</f>
        <v>255356.01884749997</v>
      </c>
      <c r="M71" s="6">
        <f t="shared" si="3"/>
        <v>1851.3311366443747</v>
      </c>
      <c r="N71" s="73"/>
      <c r="O71" s="73"/>
      <c r="P71" s="20"/>
      <c r="Q71" s="20"/>
      <c r="R71" s="20"/>
      <c r="S71" s="21"/>
    </row>
    <row r="72" spans="4:19" x14ac:dyDescent="0.25">
      <c r="D72" s="19"/>
      <c r="E72" s="20"/>
      <c r="F72" s="20"/>
      <c r="G72" s="20"/>
      <c r="H72" s="71" t="s">
        <v>69</v>
      </c>
      <c r="I72" s="68"/>
      <c r="J72" s="4" t="s">
        <v>12</v>
      </c>
      <c r="K72" s="32">
        <v>5000</v>
      </c>
      <c r="L72" s="29">
        <f>SUM($K$62:K71)+$L$58+IF(H72="before 5th",K72,0)</f>
        <v>260356.01884749997</v>
      </c>
      <c r="M72" s="6">
        <f t="shared" si="3"/>
        <v>1887.5811366443747</v>
      </c>
      <c r="N72" s="73"/>
      <c r="O72" s="73"/>
      <c r="P72" s="20"/>
      <c r="Q72" s="20"/>
      <c r="R72" s="20"/>
      <c r="S72" s="21"/>
    </row>
    <row r="73" spans="4:19" x14ac:dyDescent="0.25">
      <c r="D73" s="19"/>
      <c r="E73" s="20"/>
      <c r="F73" s="20"/>
      <c r="G73" s="20"/>
      <c r="H73" s="71" t="s">
        <v>69</v>
      </c>
      <c r="I73" s="68"/>
      <c r="J73" s="4" t="s">
        <v>13</v>
      </c>
      <c r="K73" s="32">
        <v>5000</v>
      </c>
      <c r="L73" s="29">
        <f>SUM($K$62:K72)+$L$58+IF(H73="before 5th",K73,0)</f>
        <v>265356.01884749997</v>
      </c>
      <c r="M73" s="6">
        <f t="shared" si="3"/>
        <v>1923.8311366443747</v>
      </c>
      <c r="N73" s="73"/>
      <c r="O73" s="73"/>
      <c r="P73" s="20"/>
      <c r="Q73" s="20"/>
      <c r="R73" s="20"/>
      <c r="S73" s="21"/>
    </row>
    <row r="74" spans="4:19" x14ac:dyDescent="0.25">
      <c r="D74" s="19"/>
      <c r="E74" s="20"/>
      <c r="F74" s="20"/>
      <c r="G74" s="20"/>
      <c r="H74" s="20"/>
      <c r="I74" s="68"/>
      <c r="J74" s="7" t="s">
        <v>21</v>
      </c>
      <c r="K74" s="9"/>
      <c r="L74" s="9">
        <f>SUM(K62:K73)+SUM(M62:M73)+L58</f>
        <v>286049.49248723243</v>
      </c>
      <c r="M74" s="10"/>
      <c r="N74" s="73"/>
      <c r="O74" s="73"/>
      <c r="P74" s="20"/>
      <c r="Q74" s="20"/>
      <c r="R74" s="20"/>
      <c r="S74" s="21"/>
    </row>
    <row r="75" spans="4:19" x14ac:dyDescent="0.25">
      <c r="D75" s="19"/>
      <c r="E75" s="20"/>
      <c r="F75" s="20"/>
      <c r="G75" s="20"/>
      <c r="H75" s="20"/>
      <c r="I75" s="68"/>
      <c r="J75" s="20"/>
      <c r="K75" s="20"/>
      <c r="L75" s="20"/>
      <c r="M75" s="20"/>
      <c r="N75" s="20"/>
      <c r="O75" s="20"/>
      <c r="P75" s="20"/>
      <c r="Q75" s="20"/>
      <c r="R75" s="20"/>
      <c r="S75" s="21"/>
    </row>
    <row r="76" spans="4:19" x14ac:dyDescent="0.25">
      <c r="D76" s="19" t="str">
        <f>IF($M$9=0,"Loan available for new accounts","")</f>
        <v>Loan available for new accounts</v>
      </c>
      <c r="E76" s="20"/>
      <c r="F76" s="20"/>
      <c r="G76" s="20"/>
      <c r="H76" s="20"/>
      <c r="I76" s="68"/>
      <c r="J76" s="114" t="s">
        <v>20</v>
      </c>
      <c r="K76" s="115"/>
      <c r="L76" s="115"/>
      <c r="M76" s="116"/>
      <c r="N76" s="75"/>
      <c r="O76" s="75"/>
      <c r="P76" s="20"/>
      <c r="Q76" s="20"/>
      <c r="R76" s="20"/>
      <c r="S76" s="21"/>
    </row>
    <row r="77" spans="4:19" x14ac:dyDescent="0.25">
      <c r="D77" s="19" t="str">
        <f>IF($M$9=0,"Loan amount available","")</f>
        <v>Loan amount available</v>
      </c>
      <c r="E77" s="20"/>
      <c r="F77" s="20">
        <f>IF($M$9=0,25%*L58,"")</f>
        <v>51339.004711874994</v>
      </c>
      <c r="G77" s="20"/>
      <c r="H77" s="70" t="s">
        <v>68</v>
      </c>
      <c r="I77" s="68"/>
      <c r="J77" s="1" t="s">
        <v>1</v>
      </c>
      <c r="K77" s="2" t="s">
        <v>14</v>
      </c>
      <c r="L77" s="2" t="s">
        <v>0</v>
      </c>
      <c r="M77" s="3" t="s">
        <v>15</v>
      </c>
      <c r="N77" s="72"/>
      <c r="O77" s="72"/>
      <c r="P77" s="20" t="s">
        <v>38</v>
      </c>
      <c r="Q77" s="20"/>
      <c r="R77" s="20"/>
      <c r="S77" s="21"/>
    </row>
    <row r="78" spans="4:19" x14ac:dyDescent="0.25">
      <c r="D78" s="19"/>
      <c r="E78" s="20"/>
      <c r="F78" s="20"/>
      <c r="G78" s="20"/>
      <c r="H78" s="71" t="s">
        <v>69</v>
      </c>
      <c r="I78" s="68"/>
      <c r="J78" s="4" t="s">
        <v>2</v>
      </c>
      <c r="K78" s="32">
        <v>5000</v>
      </c>
      <c r="L78" s="29">
        <f>$L$74+IF(H78="before 5th",K78,0)</f>
        <v>291049.49248723243</v>
      </c>
      <c r="M78" s="6">
        <f>L78*$P$78/12</f>
        <v>2110.1088205324349</v>
      </c>
      <c r="N78" s="82"/>
      <c r="O78" s="82"/>
      <c r="P78" s="34">
        <v>8.6999999999999994E-2</v>
      </c>
      <c r="Q78" s="20"/>
      <c r="R78" s="20"/>
      <c r="S78" s="21"/>
    </row>
    <row r="79" spans="4:19" x14ac:dyDescent="0.25">
      <c r="D79" s="19"/>
      <c r="E79" s="20"/>
      <c r="F79" s="20"/>
      <c r="G79" s="20"/>
      <c r="H79" s="71" t="s">
        <v>69</v>
      </c>
      <c r="I79" s="68"/>
      <c r="J79" s="4" t="s">
        <v>3</v>
      </c>
      <c r="K79" s="32">
        <v>5000</v>
      </c>
      <c r="L79" s="29">
        <f>SUM($K$78:K78)+$L$74+IF(H79="before 5th",K79,0)</f>
        <v>296049.49248723243</v>
      </c>
      <c r="M79" s="6">
        <f t="shared" ref="M79:M89" si="4">L79*$P$78/12</f>
        <v>2146.3588205324349</v>
      </c>
      <c r="N79" s="73"/>
      <c r="O79" s="73"/>
      <c r="P79" s="20" t="s">
        <v>40</v>
      </c>
      <c r="Q79" s="20"/>
      <c r="R79" s="20"/>
      <c r="S79" s="21"/>
    </row>
    <row r="80" spans="4:19" x14ac:dyDescent="0.25">
      <c r="D80" s="19"/>
      <c r="E80" s="20"/>
      <c r="F80" s="20"/>
      <c r="G80" s="20"/>
      <c r="H80" s="71" t="s">
        <v>69</v>
      </c>
      <c r="I80" s="68"/>
      <c r="J80" s="4" t="s">
        <v>4</v>
      </c>
      <c r="K80" s="32">
        <v>5000</v>
      </c>
      <c r="L80" s="29">
        <f>SUM($K$78:K79)+$L$74+IF(H80="before 5th",K80,0)</f>
        <v>301049.49248723243</v>
      </c>
      <c r="M80" s="6">
        <f t="shared" si="4"/>
        <v>2182.6088205324349</v>
      </c>
      <c r="N80" s="82"/>
      <c r="O80" s="82"/>
      <c r="P80" s="33">
        <v>150000</v>
      </c>
      <c r="Q80" s="20"/>
      <c r="R80" s="20"/>
      <c r="S80" s="21"/>
    </row>
    <row r="81" spans="4:19" x14ac:dyDescent="0.25">
      <c r="D81" s="19"/>
      <c r="E81" s="20"/>
      <c r="F81" s="20"/>
      <c r="G81" s="20"/>
      <c r="H81" s="71" t="s">
        <v>69</v>
      </c>
      <c r="I81" s="68"/>
      <c r="J81" s="4" t="s">
        <v>5</v>
      </c>
      <c r="K81" s="32">
        <v>5000</v>
      </c>
      <c r="L81" s="29">
        <f>SUM($K$78:K80)+$L$74+IF(H81="before 5th",K81,0)</f>
        <v>306049.49248723243</v>
      </c>
      <c r="M81" s="6">
        <f t="shared" si="4"/>
        <v>2218.8588205324349</v>
      </c>
      <c r="N81" s="73"/>
      <c r="O81" s="73"/>
      <c r="P81" s="41" t="str">
        <f>IF(SUM(K78:K89)&gt;P80,"Warning: total investment exceeds allowed limit","")</f>
        <v/>
      </c>
      <c r="Q81" s="49"/>
      <c r="R81" s="49"/>
      <c r="S81" s="50"/>
    </row>
    <row r="82" spans="4:19" x14ac:dyDescent="0.25">
      <c r="D82" s="19"/>
      <c r="E82" s="20"/>
      <c r="F82" s="20"/>
      <c r="G82" s="20"/>
      <c r="H82" s="71" t="s">
        <v>69</v>
      </c>
      <c r="I82" s="68"/>
      <c r="J82" s="4" t="s">
        <v>6</v>
      </c>
      <c r="K82" s="32">
        <v>5000</v>
      </c>
      <c r="L82" s="29">
        <f>SUM($K$78:K81)+$L$74+IF(H82="before 5th",K82,0)</f>
        <v>311049.49248723243</v>
      </c>
      <c r="M82" s="6">
        <f t="shared" si="4"/>
        <v>2255.1088205324349</v>
      </c>
      <c r="N82" s="73"/>
      <c r="O82" s="73"/>
      <c r="P82" s="20"/>
      <c r="Q82" s="20"/>
      <c r="R82" s="20"/>
      <c r="S82" s="21"/>
    </row>
    <row r="83" spans="4:19" x14ac:dyDescent="0.25">
      <c r="D83" s="19"/>
      <c r="E83" s="20"/>
      <c r="F83" s="20"/>
      <c r="G83" s="20"/>
      <c r="H83" s="71" t="s">
        <v>69</v>
      </c>
      <c r="I83" s="68"/>
      <c r="J83" s="4" t="s">
        <v>7</v>
      </c>
      <c r="K83" s="32">
        <v>5000</v>
      </c>
      <c r="L83" s="29">
        <f>SUM($K$78:K82)+$L$74+IF(H83="before 5th",K83,0)</f>
        <v>316049.49248723243</v>
      </c>
      <c r="M83" s="6">
        <f t="shared" si="4"/>
        <v>2291.3588205324349</v>
      </c>
      <c r="N83" s="73"/>
      <c r="O83" s="73"/>
      <c r="P83" s="20"/>
      <c r="Q83" s="20"/>
      <c r="R83" s="20"/>
      <c r="S83" s="21"/>
    </row>
    <row r="84" spans="4:19" x14ac:dyDescent="0.25">
      <c r="D84" s="19"/>
      <c r="E84" s="20"/>
      <c r="F84" s="20"/>
      <c r="G84" s="20"/>
      <c r="H84" s="71" t="s">
        <v>69</v>
      </c>
      <c r="I84" s="68"/>
      <c r="J84" s="4" t="s">
        <v>8</v>
      </c>
      <c r="K84" s="32">
        <v>5000</v>
      </c>
      <c r="L84" s="29">
        <f>SUM($K$78:K83)+$L$74+IF(H84="before 5th",K84,0)</f>
        <v>321049.49248723243</v>
      </c>
      <c r="M84" s="6">
        <f t="shared" si="4"/>
        <v>2327.6088205324349</v>
      </c>
      <c r="N84" s="73"/>
      <c r="O84" s="73"/>
      <c r="P84" s="20"/>
      <c r="Q84" s="20"/>
      <c r="R84" s="20"/>
      <c r="S84" s="21"/>
    </row>
    <row r="85" spans="4:19" x14ac:dyDescent="0.25">
      <c r="D85" s="19"/>
      <c r="E85" s="20"/>
      <c r="F85" s="20"/>
      <c r="G85" s="20"/>
      <c r="H85" s="71" t="s">
        <v>69</v>
      </c>
      <c r="I85" s="68"/>
      <c r="J85" s="4" t="s">
        <v>9</v>
      </c>
      <c r="K85" s="32">
        <v>5000</v>
      </c>
      <c r="L85" s="29">
        <f>SUM($K$78:K84)+$L$74+IF(H85="before 5th",K85,0)</f>
        <v>326049.49248723243</v>
      </c>
      <c r="M85" s="6">
        <f t="shared" si="4"/>
        <v>2363.8588205324349</v>
      </c>
      <c r="N85" s="73"/>
      <c r="O85" s="73"/>
      <c r="P85" s="20"/>
      <c r="Q85" s="20"/>
      <c r="R85" s="20"/>
      <c r="S85" s="21"/>
    </row>
    <row r="86" spans="4:19" x14ac:dyDescent="0.25">
      <c r="D86" s="19"/>
      <c r="E86" s="20"/>
      <c r="F86" s="20"/>
      <c r="G86" s="20"/>
      <c r="H86" s="71" t="s">
        <v>69</v>
      </c>
      <c r="I86" s="68"/>
      <c r="J86" s="4" t="s">
        <v>10</v>
      </c>
      <c r="K86" s="32">
        <v>5000</v>
      </c>
      <c r="L86" s="29">
        <f>SUM($K$78:K85)+$L$74+IF(H86="before 5th",K86,0)</f>
        <v>331049.49248723243</v>
      </c>
      <c r="M86" s="6">
        <f t="shared" si="4"/>
        <v>2400.1088205324349</v>
      </c>
      <c r="N86" s="73"/>
      <c r="O86" s="73"/>
      <c r="P86" s="20"/>
      <c r="Q86" s="20"/>
      <c r="R86" s="20"/>
      <c r="S86" s="21"/>
    </row>
    <row r="87" spans="4:19" x14ac:dyDescent="0.25">
      <c r="D87" s="19"/>
      <c r="E87" s="20"/>
      <c r="F87" s="20"/>
      <c r="G87" s="20"/>
      <c r="H87" s="71" t="s">
        <v>69</v>
      </c>
      <c r="I87" s="68"/>
      <c r="J87" s="4" t="s">
        <v>11</v>
      </c>
      <c r="K87" s="32">
        <v>5000</v>
      </c>
      <c r="L87" s="29">
        <f>SUM($K$78:K86)+$L$74+IF(H87="before 5th",K87,0)</f>
        <v>336049.49248723243</v>
      </c>
      <c r="M87" s="6">
        <f t="shared" si="4"/>
        <v>2436.3588205324349</v>
      </c>
      <c r="N87" s="73"/>
      <c r="O87" s="73"/>
      <c r="P87" s="20"/>
      <c r="Q87" s="20"/>
      <c r="R87" s="20"/>
      <c r="S87" s="21"/>
    </row>
    <row r="88" spans="4:19" x14ac:dyDescent="0.25">
      <c r="D88" s="19"/>
      <c r="E88" s="20"/>
      <c r="F88" s="20"/>
      <c r="G88" s="20"/>
      <c r="H88" s="71" t="s">
        <v>69</v>
      </c>
      <c r="I88" s="68"/>
      <c r="J88" s="4" t="s">
        <v>12</v>
      </c>
      <c r="K88" s="32">
        <v>5000</v>
      </c>
      <c r="L88" s="29">
        <f>SUM($K$78:K87)+$L$74+IF(H88="before 5th",K88,0)</f>
        <v>341049.49248723243</v>
      </c>
      <c r="M88" s="6">
        <f t="shared" si="4"/>
        <v>2472.6088205324349</v>
      </c>
      <c r="N88" s="73"/>
      <c r="O88" s="73"/>
      <c r="P88" s="20"/>
      <c r="Q88" s="20"/>
      <c r="R88" s="20"/>
      <c r="S88" s="21"/>
    </row>
    <row r="89" spans="4:19" x14ac:dyDescent="0.25">
      <c r="D89" s="19"/>
      <c r="E89" s="20"/>
      <c r="F89" s="20"/>
      <c r="G89" s="20"/>
      <c r="H89" s="71" t="s">
        <v>69</v>
      </c>
      <c r="I89" s="68"/>
      <c r="J89" s="4" t="s">
        <v>13</v>
      </c>
      <c r="K89" s="32">
        <v>5000</v>
      </c>
      <c r="L89" s="29">
        <f>SUM($K$78:K88)+$L$74+IF(H89="before 5th",K89,0)</f>
        <v>346049.49248723243</v>
      </c>
      <c r="M89" s="6">
        <f t="shared" si="4"/>
        <v>2508.8588205324349</v>
      </c>
      <c r="N89" s="73"/>
      <c r="O89" s="73"/>
      <c r="P89" s="20"/>
      <c r="Q89" s="20"/>
      <c r="R89" s="20"/>
      <c r="S89" s="21"/>
    </row>
    <row r="90" spans="4:19" x14ac:dyDescent="0.25">
      <c r="D90" s="19"/>
      <c r="E90" s="20"/>
      <c r="F90" s="20"/>
      <c r="G90" s="20"/>
      <c r="H90" s="20"/>
      <c r="I90" s="68"/>
      <c r="J90" s="7" t="s">
        <v>21</v>
      </c>
      <c r="K90" s="9"/>
      <c r="L90" s="9">
        <f>SUM(K78:K89)+SUM(M78:M89)+L74</f>
        <v>373763.29833362164</v>
      </c>
      <c r="M90" s="10"/>
      <c r="N90" s="73"/>
      <c r="O90" s="73"/>
      <c r="P90" s="20"/>
      <c r="Q90" s="20"/>
      <c r="R90" s="20"/>
      <c r="S90" s="21"/>
    </row>
    <row r="91" spans="4:19" x14ac:dyDescent="0.25">
      <c r="D91" s="19"/>
      <c r="E91" s="20"/>
      <c r="F91" s="20"/>
      <c r="G91" s="20"/>
      <c r="H91" s="20"/>
      <c r="I91" s="68"/>
      <c r="J91" s="20"/>
      <c r="K91" s="20"/>
      <c r="L91" s="20"/>
      <c r="M91" s="20"/>
      <c r="N91" s="20"/>
      <c r="O91" s="20"/>
      <c r="P91" s="20"/>
      <c r="Q91" s="20"/>
      <c r="R91" s="20"/>
      <c r="S91" s="21"/>
    </row>
    <row r="92" spans="4:19" x14ac:dyDescent="0.25">
      <c r="D92" s="19" t="str">
        <f>IF($M$9=0,"Loan available for new accounts","")</f>
        <v>Loan available for new accounts</v>
      </c>
      <c r="E92" s="20"/>
      <c r="F92" s="20"/>
      <c r="G92" s="20"/>
      <c r="H92" s="20"/>
      <c r="I92" s="68"/>
      <c r="J92" s="114" t="s">
        <v>22</v>
      </c>
      <c r="K92" s="115"/>
      <c r="L92" s="115"/>
      <c r="M92" s="116"/>
      <c r="N92" s="75"/>
      <c r="O92" s="75"/>
      <c r="P92" s="20"/>
      <c r="Q92" s="20"/>
      <c r="R92" s="20"/>
      <c r="S92" s="21"/>
    </row>
    <row r="93" spans="4:19" x14ac:dyDescent="0.25">
      <c r="D93" s="19" t="str">
        <f>IF($M$9=0,"Loan amount available","")</f>
        <v>Loan amount available</v>
      </c>
      <c r="E93" s="20"/>
      <c r="F93" s="20">
        <f>IF($M$9=0,25%*L74,"")</f>
        <v>71512.373121808108</v>
      </c>
      <c r="G93" s="20"/>
      <c r="H93" s="70" t="s">
        <v>68</v>
      </c>
      <c r="I93" s="68"/>
      <c r="J93" s="1" t="s">
        <v>1</v>
      </c>
      <c r="K93" s="2" t="s">
        <v>14</v>
      </c>
      <c r="L93" s="2" t="s">
        <v>0</v>
      </c>
      <c r="M93" s="3" t="s">
        <v>15</v>
      </c>
      <c r="N93" s="72"/>
      <c r="O93" s="72"/>
      <c r="P93" s="20" t="s">
        <v>38</v>
      </c>
      <c r="Q93" s="20"/>
      <c r="R93" s="20"/>
      <c r="S93" s="21"/>
    </row>
    <row r="94" spans="4:19" x14ac:dyDescent="0.25">
      <c r="D94" s="19"/>
      <c r="E94" s="20"/>
      <c r="F94" s="20"/>
      <c r="G94" s="20"/>
      <c r="H94" s="71" t="s">
        <v>69</v>
      </c>
      <c r="I94" s="68"/>
      <c r="J94" s="4" t="s">
        <v>2</v>
      </c>
      <c r="K94" s="32">
        <v>5000</v>
      </c>
      <c r="L94" s="29">
        <f>$L$90+IF(H94="before 5th",K94,0)</f>
        <v>378763.29833362164</v>
      </c>
      <c r="M94" s="6">
        <f>L94*$P$94/12</f>
        <v>2746.0339129187564</v>
      </c>
      <c r="N94" s="82"/>
      <c r="O94" s="82"/>
      <c r="P94" s="34">
        <v>8.6999999999999994E-2</v>
      </c>
      <c r="Q94" s="20"/>
      <c r="R94" s="20"/>
      <c r="S94" s="21"/>
    </row>
    <row r="95" spans="4:19" x14ac:dyDescent="0.25">
      <c r="D95" s="19"/>
      <c r="E95" s="20"/>
      <c r="F95" s="20"/>
      <c r="G95" s="20"/>
      <c r="H95" s="71" t="s">
        <v>69</v>
      </c>
      <c r="I95" s="68"/>
      <c r="J95" s="4" t="s">
        <v>3</v>
      </c>
      <c r="K95" s="32">
        <v>5000</v>
      </c>
      <c r="L95" s="29">
        <f>SUM($K$94:K94)+$L$90+IF(H95="before 5th",K95,0)</f>
        <v>383763.29833362164</v>
      </c>
      <c r="M95" s="6">
        <f t="shared" ref="M95:M105" si="5">L95*$P$94/12</f>
        <v>2782.2839129187564</v>
      </c>
      <c r="N95" s="73"/>
      <c r="O95" s="73"/>
      <c r="P95" s="20" t="s">
        <v>40</v>
      </c>
      <c r="Q95" s="20"/>
      <c r="R95" s="20"/>
      <c r="S95" s="21"/>
    </row>
    <row r="96" spans="4:19" x14ac:dyDescent="0.25">
      <c r="D96" s="19"/>
      <c r="E96" s="20"/>
      <c r="F96" s="20"/>
      <c r="G96" s="20"/>
      <c r="H96" s="71" t="s">
        <v>69</v>
      </c>
      <c r="I96" s="68"/>
      <c r="J96" s="4" t="s">
        <v>4</v>
      </c>
      <c r="K96" s="32">
        <v>5000</v>
      </c>
      <c r="L96" s="29">
        <f>SUM($K$94:K95)+$L$90+IF(H96="before 5th",K96,0)</f>
        <v>388763.29833362164</v>
      </c>
      <c r="M96" s="6">
        <f t="shared" si="5"/>
        <v>2818.5339129187564</v>
      </c>
      <c r="N96" s="82"/>
      <c r="O96" s="82"/>
      <c r="P96" s="33">
        <v>150000</v>
      </c>
      <c r="Q96" s="20"/>
      <c r="R96" s="20"/>
      <c r="S96" s="21"/>
    </row>
    <row r="97" spans="4:19" x14ac:dyDescent="0.25">
      <c r="D97" s="19"/>
      <c r="E97" s="20"/>
      <c r="F97" s="20"/>
      <c r="G97" s="20"/>
      <c r="H97" s="71" t="s">
        <v>69</v>
      </c>
      <c r="I97" s="68"/>
      <c r="J97" s="4" t="s">
        <v>5</v>
      </c>
      <c r="K97" s="32">
        <v>5000</v>
      </c>
      <c r="L97" s="29">
        <f>SUM($K$94:K96)+$L$90+IF(H97="before 5th",K97,0)</f>
        <v>393763.29833362164</v>
      </c>
      <c r="M97" s="6">
        <f t="shared" si="5"/>
        <v>2854.7839129187564</v>
      </c>
      <c r="N97" s="73"/>
      <c r="O97" s="73"/>
      <c r="P97" s="41" t="str">
        <f>IF(SUM(K94:K105)&gt;P96,"Warning: total investment exceeds allowed limit","")</f>
        <v/>
      </c>
      <c r="Q97" s="49"/>
      <c r="R97" s="49"/>
      <c r="S97" s="50"/>
    </row>
    <row r="98" spans="4:19" x14ac:dyDescent="0.25">
      <c r="D98" s="19"/>
      <c r="E98" s="20"/>
      <c r="F98" s="20"/>
      <c r="G98" s="20"/>
      <c r="H98" s="71" t="s">
        <v>69</v>
      </c>
      <c r="I98" s="68"/>
      <c r="J98" s="4" t="s">
        <v>6</v>
      </c>
      <c r="K98" s="32">
        <v>5000</v>
      </c>
      <c r="L98" s="29">
        <f>SUM($K$94:K97)+$L$90+IF(H98="before 5th",K98,0)</f>
        <v>398763.29833362164</v>
      </c>
      <c r="M98" s="6">
        <f t="shared" si="5"/>
        <v>2891.0339129187564</v>
      </c>
      <c r="N98" s="73"/>
      <c r="O98" s="73"/>
      <c r="P98" s="20"/>
      <c r="Q98" s="20"/>
      <c r="R98" s="20"/>
      <c r="S98" s="21"/>
    </row>
    <row r="99" spans="4:19" x14ac:dyDescent="0.25">
      <c r="D99" s="19"/>
      <c r="E99" s="20"/>
      <c r="F99" s="20"/>
      <c r="G99" s="20"/>
      <c r="H99" s="71" t="s">
        <v>69</v>
      </c>
      <c r="I99" s="68"/>
      <c r="J99" s="4" t="s">
        <v>7</v>
      </c>
      <c r="K99" s="32">
        <v>5000</v>
      </c>
      <c r="L99" s="29">
        <f>SUM($K$94:K98)+$L$90+IF(H99="before 5th",K99,0)</f>
        <v>403763.29833362164</v>
      </c>
      <c r="M99" s="6">
        <f t="shared" si="5"/>
        <v>2927.2839129187564</v>
      </c>
      <c r="N99" s="73"/>
      <c r="O99" s="73"/>
      <c r="P99" s="20"/>
      <c r="Q99" s="20"/>
      <c r="R99" s="20"/>
      <c r="S99" s="21"/>
    </row>
    <row r="100" spans="4:19" x14ac:dyDescent="0.25">
      <c r="D100" s="19"/>
      <c r="E100" s="20"/>
      <c r="F100" s="20"/>
      <c r="G100" s="20"/>
      <c r="H100" s="71" t="s">
        <v>69</v>
      </c>
      <c r="I100" s="68"/>
      <c r="J100" s="4" t="s">
        <v>8</v>
      </c>
      <c r="K100" s="32">
        <v>5000</v>
      </c>
      <c r="L100" s="29">
        <f>SUM($K$94:K99)+$L$90+IF(H100="before 5th",K100,0)</f>
        <v>408763.29833362164</v>
      </c>
      <c r="M100" s="6">
        <f t="shared" si="5"/>
        <v>2963.5339129187564</v>
      </c>
      <c r="N100" s="73"/>
      <c r="O100" s="73"/>
      <c r="P100" s="20"/>
      <c r="Q100" s="20"/>
      <c r="R100" s="20"/>
      <c r="S100" s="21"/>
    </row>
    <row r="101" spans="4:19" x14ac:dyDescent="0.25">
      <c r="D101" s="19"/>
      <c r="E101" s="20"/>
      <c r="F101" s="20"/>
      <c r="G101" s="20"/>
      <c r="H101" s="71" t="s">
        <v>69</v>
      </c>
      <c r="I101" s="68"/>
      <c r="J101" s="4" t="s">
        <v>9</v>
      </c>
      <c r="K101" s="32">
        <v>5000</v>
      </c>
      <c r="L101" s="29">
        <f>SUM($K$94:K100)+$L$90+IF(H101="before 5th",K101,0)</f>
        <v>413763.29833362164</v>
      </c>
      <c r="M101" s="6">
        <f t="shared" si="5"/>
        <v>2999.7839129187564</v>
      </c>
      <c r="N101" s="73"/>
      <c r="O101" s="73"/>
      <c r="P101" s="20"/>
      <c r="Q101" s="20"/>
      <c r="R101" s="20"/>
      <c r="S101" s="21"/>
    </row>
    <row r="102" spans="4:19" x14ac:dyDescent="0.25">
      <c r="D102" s="19"/>
      <c r="E102" s="20"/>
      <c r="F102" s="20"/>
      <c r="G102" s="20"/>
      <c r="H102" s="71" t="s">
        <v>69</v>
      </c>
      <c r="I102" s="68"/>
      <c r="J102" s="4" t="s">
        <v>10</v>
      </c>
      <c r="K102" s="32">
        <v>5000</v>
      </c>
      <c r="L102" s="29">
        <f>SUM($K$94:K101)+$L$90+IF(H102="before 5th",K102,0)</f>
        <v>418763.29833362164</v>
      </c>
      <c r="M102" s="6">
        <f t="shared" si="5"/>
        <v>3036.0339129187564</v>
      </c>
      <c r="N102" s="73"/>
      <c r="O102" s="73"/>
      <c r="P102" s="20"/>
      <c r="Q102" s="20"/>
      <c r="R102" s="20"/>
      <c r="S102" s="21"/>
    </row>
    <row r="103" spans="4:19" x14ac:dyDescent="0.25">
      <c r="D103" s="19"/>
      <c r="E103" s="20"/>
      <c r="F103" s="20"/>
      <c r="G103" s="20"/>
      <c r="H103" s="71" t="s">
        <v>69</v>
      </c>
      <c r="I103" s="68"/>
      <c r="J103" s="4" t="s">
        <v>11</v>
      </c>
      <c r="K103" s="32">
        <v>5000</v>
      </c>
      <c r="L103" s="29">
        <f>SUM($K$94:K102)+$L$90+IF(H103="before 5th",K103,0)</f>
        <v>423763.29833362164</v>
      </c>
      <c r="M103" s="6">
        <f t="shared" si="5"/>
        <v>3072.2839129187564</v>
      </c>
      <c r="N103" s="73"/>
      <c r="O103" s="73"/>
      <c r="P103" s="20"/>
      <c r="Q103" s="20"/>
      <c r="R103" s="20"/>
      <c r="S103" s="21"/>
    </row>
    <row r="104" spans="4:19" x14ac:dyDescent="0.25">
      <c r="D104" s="19"/>
      <c r="E104" s="20"/>
      <c r="F104" s="20"/>
      <c r="G104" s="20"/>
      <c r="H104" s="71" t="s">
        <v>69</v>
      </c>
      <c r="I104" s="68"/>
      <c r="J104" s="4" t="s">
        <v>12</v>
      </c>
      <c r="K104" s="32">
        <v>5000</v>
      </c>
      <c r="L104" s="29">
        <f>SUM($K$94:K103)+$L$90+IF(H104="before 5th",K104,0)</f>
        <v>428763.29833362164</v>
      </c>
      <c r="M104" s="6">
        <f t="shared" si="5"/>
        <v>3108.5339129187564</v>
      </c>
      <c r="N104" s="73"/>
      <c r="O104" s="73"/>
      <c r="P104" s="20"/>
      <c r="Q104" s="20"/>
      <c r="R104" s="20"/>
      <c r="S104" s="21"/>
    </row>
    <row r="105" spans="4:19" x14ac:dyDescent="0.25">
      <c r="D105" s="19"/>
      <c r="E105" s="20"/>
      <c r="F105" s="20"/>
      <c r="G105" s="20"/>
      <c r="H105" s="71" t="s">
        <v>69</v>
      </c>
      <c r="I105" s="68"/>
      <c r="J105" s="4" t="s">
        <v>13</v>
      </c>
      <c r="K105" s="32">
        <v>5000</v>
      </c>
      <c r="L105" s="29">
        <f>SUM($K$94:K104)+$L$90+IF(H105="before 5th",K105,0)</f>
        <v>433763.29833362164</v>
      </c>
      <c r="M105" s="6">
        <f t="shared" si="5"/>
        <v>3144.7839129187564</v>
      </c>
      <c r="N105" s="73"/>
      <c r="O105" s="73"/>
      <c r="P105" s="20"/>
      <c r="Q105" s="20"/>
      <c r="R105" s="20"/>
      <c r="S105" s="21"/>
    </row>
    <row r="106" spans="4:19" x14ac:dyDescent="0.25">
      <c r="D106" s="19"/>
      <c r="E106" s="20"/>
      <c r="F106" s="20"/>
      <c r="G106" s="20"/>
      <c r="H106" s="20"/>
      <c r="I106" s="68"/>
      <c r="J106" s="7" t="s">
        <v>21</v>
      </c>
      <c r="K106" s="9"/>
      <c r="L106" s="9">
        <f>SUM(K94:K105)+SUM(M94:M105)+L90</f>
        <v>469108.20528864674</v>
      </c>
      <c r="M106" s="10"/>
      <c r="N106" s="73"/>
      <c r="O106" s="73"/>
      <c r="P106" s="20"/>
      <c r="Q106" s="20"/>
      <c r="R106" s="20"/>
      <c r="S106" s="21"/>
    </row>
    <row r="107" spans="4:19" x14ac:dyDescent="0.25">
      <c r="D107" s="19"/>
      <c r="E107" s="20"/>
      <c r="F107" s="20"/>
      <c r="G107" s="20"/>
      <c r="H107" s="20"/>
      <c r="I107" s="68"/>
      <c r="J107" s="20"/>
      <c r="K107" s="20"/>
      <c r="L107" s="20"/>
      <c r="M107" s="20"/>
      <c r="N107" s="20"/>
      <c r="O107" s="20"/>
      <c r="P107" s="20"/>
      <c r="Q107" s="20"/>
      <c r="R107" s="20"/>
      <c r="S107" s="21"/>
    </row>
    <row r="108" spans="4:19" x14ac:dyDescent="0.25">
      <c r="D108" s="19"/>
      <c r="E108" s="20"/>
      <c r="F108" s="20"/>
      <c r="G108" s="20"/>
      <c r="H108" s="20"/>
      <c r="I108" s="68"/>
      <c r="J108" s="114" t="s">
        <v>23</v>
      </c>
      <c r="K108" s="115"/>
      <c r="L108" s="115"/>
      <c r="M108" s="116"/>
      <c r="N108" s="75"/>
      <c r="O108" s="90" t="s">
        <v>73</v>
      </c>
      <c r="P108" s="20"/>
      <c r="Q108" s="20"/>
      <c r="R108" s="20"/>
      <c r="S108" s="21"/>
    </row>
    <row r="109" spans="4:19" x14ac:dyDescent="0.25">
      <c r="D109" s="19"/>
      <c r="E109" s="20"/>
      <c r="F109" s="20"/>
      <c r="G109" s="20"/>
      <c r="H109" s="70" t="s">
        <v>68</v>
      </c>
      <c r="I109" s="68"/>
      <c r="J109" s="1" t="s">
        <v>1</v>
      </c>
      <c r="K109" s="2" t="s">
        <v>14</v>
      </c>
      <c r="L109" s="2" t="s">
        <v>0</v>
      </c>
      <c r="M109" s="3" t="s">
        <v>15</v>
      </c>
      <c r="N109" s="3"/>
      <c r="O109" s="86" t="s">
        <v>72</v>
      </c>
      <c r="P109" s="20" t="s">
        <v>38</v>
      </c>
      <c r="Q109" s="20"/>
      <c r="R109" s="20"/>
      <c r="S109" s="21"/>
    </row>
    <row r="110" spans="4:19" x14ac:dyDescent="0.25">
      <c r="D110" s="19"/>
      <c r="E110" s="20"/>
      <c r="F110" s="20"/>
      <c r="G110" s="20"/>
      <c r="H110" s="71" t="s">
        <v>69</v>
      </c>
      <c r="I110" s="68"/>
      <c r="J110" s="4" t="s">
        <v>2</v>
      </c>
      <c r="K110" s="32">
        <v>5000</v>
      </c>
      <c r="L110" s="29">
        <f>$L$106+IF(H110="before 5th",K110,0)</f>
        <v>474108.20528864674</v>
      </c>
      <c r="M110" s="6">
        <f>L110*$P$110/12</f>
        <v>3437.2844883426883</v>
      </c>
      <c r="N110" s="83">
        <f t="shared" ref="N110:N115" si="6">IF(O110=MAX($O$110:$O$121),O110,IF(N109=MAX($O$110:$O$121),N109,0))</f>
        <v>0</v>
      </c>
      <c r="O110" s="87"/>
      <c r="P110" s="88">
        <v>8.6999999999999994E-2</v>
      </c>
      <c r="Q110" s="20"/>
      <c r="R110" s="20"/>
      <c r="S110" s="21"/>
    </row>
    <row r="111" spans="4:19" x14ac:dyDescent="0.25">
      <c r="D111" s="19" t="str">
        <f>IF($M$9=0,"Withdrawal limit","")</f>
        <v>Withdrawal limit</v>
      </c>
      <c r="E111" s="20"/>
      <c r="F111" s="20">
        <f>IF($M$9=0,50%*MIN(L106,L58),"")</f>
        <v>102678.00942374999</v>
      </c>
      <c r="G111" s="20"/>
      <c r="H111" s="71" t="s">
        <v>69</v>
      </c>
      <c r="I111" s="68"/>
      <c r="J111" s="4" t="s">
        <v>3</v>
      </c>
      <c r="K111" s="32">
        <v>5000</v>
      </c>
      <c r="L111" s="29">
        <f>SUM($K$110:K110)+$L$106+IF(H111="before 5th",K111,0)</f>
        <v>479108.20528864674</v>
      </c>
      <c r="M111" s="6">
        <f t="shared" ref="M111:M121" si="7">L111*$P$110/12</f>
        <v>3473.5344883426883</v>
      </c>
      <c r="N111" s="83">
        <f t="shared" si="6"/>
        <v>0</v>
      </c>
      <c r="O111" s="87"/>
      <c r="P111" s="20" t="s">
        <v>40</v>
      </c>
      <c r="Q111" s="20"/>
      <c r="R111" s="20"/>
      <c r="S111" s="21"/>
    </row>
    <row r="112" spans="4:19" x14ac:dyDescent="0.25">
      <c r="D112" s="19"/>
      <c r="E112" s="20"/>
      <c r="F112" s="20"/>
      <c r="G112" s="20"/>
      <c r="H112" s="71" t="s">
        <v>69</v>
      </c>
      <c r="I112" s="68"/>
      <c r="J112" s="4" t="s">
        <v>4</v>
      </c>
      <c r="K112" s="32">
        <v>5000</v>
      </c>
      <c r="L112" s="29">
        <f>SUM($K$110:K111)+$L$106+IF(H112="before 5th",K112,0)</f>
        <v>484108.20528864674</v>
      </c>
      <c r="M112" s="6">
        <f t="shared" si="7"/>
        <v>3509.7844883426883</v>
      </c>
      <c r="N112" s="83">
        <f t="shared" si="6"/>
        <v>0</v>
      </c>
      <c r="O112" s="87"/>
      <c r="P112" s="89">
        <v>150000</v>
      </c>
      <c r="Q112" s="20"/>
      <c r="R112" s="20"/>
      <c r="S112" s="21"/>
    </row>
    <row r="113" spans="4:19" x14ac:dyDescent="0.25">
      <c r="D113" s="19"/>
      <c r="E113" s="20"/>
      <c r="F113" s="20"/>
      <c r="G113" s="20"/>
      <c r="H113" s="71" t="s">
        <v>69</v>
      </c>
      <c r="I113" s="68"/>
      <c r="J113" s="4" t="s">
        <v>5</v>
      </c>
      <c r="K113" s="32">
        <v>5000</v>
      </c>
      <c r="L113" s="29">
        <f>SUM($K$110:K112)+$L$106+IF(H113="before 5th",K113,0)</f>
        <v>489108.20528864674</v>
      </c>
      <c r="M113" s="6">
        <f t="shared" si="7"/>
        <v>3546.0344883426883</v>
      </c>
      <c r="N113" s="83">
        <f t="shared" si="6"/>
        <v>0</v>
      </c>
      <c r="O113" s="87"/>
      <c r="P113" s="41" t="str">
        <f>IF(SUM(K110:K121)&gt;P112,"Warning: total investment exceeds allowed limit","")</f>
        <v/>
      </c>
      <c r="Q113" s="49"/>
      <c r="R113" s="49"/>
      <c r="S113" s="50"/>
    </row>
    <row r="114" spans="4:19" x14ac:dyDescent="0.25">
      <c r="D114" s="19"/>
      <c r="E114" s="20"/>
      <c r="F114" s="20"/>
      <c r="G114" s="20"/>
      <c r="H114" s="71" t="s">
        <v>69</v>
      </c>
      <c r="I114" s="68"/>
      <c r="J114" s="4" t="s">
        <v>6</v>
      </c>
      <c r="K114" s="32">
        <v>5000</v>
      </c>
      <c r="L114" s="29">
        <f>SUM($K$110:K113)+$L$106+IF(H114="before 5th",K114,0)</f>
        <v>494108.20528864674</v>
      </c>
      <c r="M114" s="6">
        <f t="shared" si="7"/>
        <v>3582.2844883426883</v>
      </c>
      <c r="N114" s="83">
        <f t="shared" si="6"/>
        <v>0</v>
      </c>
      <c r="O114" s="87"/>
      <c r="P114" s="20"/>
      <c r="Q114" s="20"/>
      <c r="R114" s="20"/>
      <c r="S114" s="21"/>
    </row>
    <row r="115" spans="4:19" x14ac:dyDescent="0.25">
      <c r="D115" s="19"/>
      <c r="E115" s="20"/>
      <c r="F115" s="20"/>
      <c r="G115" s="20"/>
      <c r="H115" s="71" t="s">
        <v>69</v>
      </c>
      <c r="I115" s="68"/>
      <c r="J115" s="4" t="s">
        <v>7</v>
      </c>
      <c r="K115" s="32">
        <v>5000</v>
      </c>
      <c r="L115" s="29">
        <f>SUM($K$110:K114)+$L$106+IF(H115="before 5th",K115,0)</f>
        <v>499108.20528864674</v>
      </c>
      <c r="M115" s="6">
        <f t="shared" si="7"/>
        <v>3618.5344883426883</v>
      </c>
      <c r="N115" s="83">
        <f t="shared" si="6"/>
        <v>0</v>
      </c>
      <c r="O115" s="87"/>
      <c r="P115" s="84" t="str">
        <f>IF(N122&gt;F111,"Withdrawal is above limit","")</f>
        <v/>
      </c>
      <c r="Q115" s="76"/>
      <c r="R115" s="76"/>
      <c r="S115" s="85"/>
    </row>
    <row r="116" spans="4:19" x14ac:dyDescent="0.25">
      <c r="D116" s="19"/>
      <c r="E116" s="20"/>
      <c r="F116" s="20"/>
      <c r="G116" s="20"/>
      <c r="H116" s="71" t="s">
        <v>69</v>
      </c>
      <c r="I116" s="68"/>
      <c r="J116" s="4" t="s">
        <v>8</v>
      </c>
      <c r="K116" s="32">
        <v>5000</v>
      </c>
      <c r="L116" s="29">
        <f>SUM($K$110:K115)+$L$106+IF(H116="before 5th",K116,0)</f>
        <v>504108.20528864674</v>
      </c>
      <c r="M116" s="6">
        <f t="shared" si="7"/>
        <v>3654.7844883426883</v>
      </c>
      <c r="N116" s="83">
        <f t="shared" ref="N116:N121" si="8">IF(O116=MAX($O$110:$O$121),O116,IF(N115=MAX($O$110:$O$121),N115,0))</f>
        <v>0</v>
      </c>
      <c r="O116" s="87"/>
      <c r="P116" s="20"/>
      <c r="Q116" s="20"/>
      <c r="R116" s="20"/>
      <c r="S116" s="21"/>
    </row>
    <row r="117" spans="4:19" x14ac:dyDescent="0.25">
      <c r="D117" s="19"/>
      <c r="E117" s="20"/>
      <c r="F117" s="20"/>
      <c r="G117" s="20"/>
      <c r="H117" s="71" t="s">
        <v>69</v>
      </c>
      <c r="I117" s="68"/>
      <c r="J117" s="4" t="s">
        <v>9</v>
      </c>
      <c r="K117" s="32">
        <v>5000</v>
      </c>
      <c r="L117" s="29">
        <f>SUM($K$110:K116)+$L$106+IF(H117="before 5th",K117,0)</f>
        <v>509108.20528864674</v>
      </c>
      <c r="M117" s="6">
        <f t="shared" si="7"/>
        <v>3691.0344883426883</v>
      </c>
      <c r="N117" s="83">
        <f t="shared" si="8"/>
        <v>0</v>
      </c>
      <c r="O117" s="87"/>
      <c r="P117" s="20"/>
      <c r="Q117" s="20"/>
      <c r="R117" s="20"/>
      <c r="S117" s="21"/>
    </row>
    <row r="118" spans="4:19" x14ac:dyDescent="0.25">
      <c r="D118" s="19"/>
      <c r="E118" s="20"/>
      <c r="F118" s="20"/>
      <c r="G118" s="20"/>
      <c r="H118" s="71" t="s">
        <v>69</v>
      </c>
      <c r="I118" s="68"/>
      <c r="J118" s="4" t="s">
        <v>10</v>
      </c>
      <c r="K118" s="32">
        <v>5000</v>
      </c>
      <c r="L118" s="29">
        <f>SUM($K$110:K117)+$L$106+IF(H118="before 5th",K118,0)</f>
        <v>514108.20528864674</v>
      </c>
      <c r="M118" s="6">
        <f t="shared" si="7"/>
        <v>3727.2844883426883</v>
      </c>
      <c r="N118" s="83">
        <f t="shared" si="8"/>
        <v>0</v>
      </c>
      <c r="O118" s="87"/>
      <c r="P118" s="20"/>
      <c r="Q118" s="20"/>
      <c r="R118" s="20"/>
      <c r="S118" s="21"/>
    </row>
    <row r="119" spans="4:19" x14ac:dyDescent="0.25">
      <c r="D119" s="19"/>
      <c r="E119" s="20"/>
      <c r="F119" s="20"/>
      <c r="G119" s="20"/>
      <c r="H119" s="71" t="s">
        <v>69</v>
      </c>
      <c r="I119" s="68"/>
      <c r="J119" s="4" t="s">
        <v>11</v>
      </c>
      <c r="K119" s="32">
        <v>5000</v>
      </c>
      <c r="L119" s="29">
        <f>SUM($K$110:K118)+$L$106+IF(H119="before 5th",K119,0)</f>
        <v>519108.20528864674</v>
      </c>
      <c r="M119" s="6">
        <f t="shared" si="7"/>
        <v>3763.5344883426883</v>
      </c>
      <c r="N119" s="83">
        <f t="shared" si="8"/>
        <v>0</v>
      </c>
      <c r="O119" s="87"/>
      <c r="P119" s="20"/>
      <c r="Q119" s="20"/>
      <c r="R119" s="20"/>
      <c r="S119" s="21"/>
    </row>
    <row r="120" spans="4:19" x14ac:dyDescent="0.25">
      <c r="D120" s="19"/>
      <c r="E120" s="20"/>
      <c r="F120" s="20"/>
      <c r="G120" s="20"/>
      <c r="H120" s="71" t="s">
        <v>69</v>
      </c>
      <c r="I120" s="68"/>
      <c r="J120" s="4" t="s">
        <v>12</v>
      </c>
      <c r="K120" s="32">
        <v>5000</v>
      </c>
      <c r="L120" s="29">
        <f>SUM($K$110:K119)+$L$106+IF(H120="before 5th",K120,0)</f>
        <v>524108.20528864674</v>
      </c>
      <c r="M120" s="6">
        <f t="shared" si="7"/>
        <v>3799.7844883426883</v>
      </c>
      <c r="N120" s="83">
        <f t="shared" si="8"/>
        <v>0</v>
      </c>
      <c r="O120" s="87"/>
      <c r="P120" s="20"/>
      <c r="Q120" s="20"/>
      <c r="R120" s="20"/>
      <c r="S120" s="21"/>
    </row>
    <row r="121" spans="4:19" x14ac:dyDescent="0.25">
      <c r="D121" s="19"/>
      <c r="E121" s="20"/>
      <c r="F121" s="20"/>
      <c r="G121" s="20"/>
      <c r="H121" s="71" t="s">
        <v>69</v>
      </c>
      <c r="I121" s="68"/>
      <c r="J121" s="4" t="s">
        <v>13</v>
      </c>
      <c r="K121" s="32">
        <v>5000</v>
      </c>
      <c r="L121" s="29">
        <f>SUM($K$110:K120)+$L$106+IF(H121="before 5th",K121,0)</f>
        <v>529108.20528864674</v>
      </c>
      <c r="M121" s="6">
        <f t="shared" si="7"/>
        <v>3836.0344883426883</v>
      </c>
      <c r="N121" s="83">
        <f t="shared" si="8"/>
        <v>0</v>
      </c>
      <c r="O121" s="87"/>
      <c r="P121" s="20"/>
      <c r="Q121" s="20"/>
      <c r="R121" s="20"/>
      <c r="S121" s="21"/>
    </row>
    <row r="122" spans="4:19" x14ac:dyDescent="0.25">
      <c r="D122" s="19"/>
      <c r="E122" s="20"/>
      <c r="F122" s="20"/>
      <c r="G122" s="20"/>
      <c r="H122" s="20"/>
      <c r="I122" s="68"/>
      <c r="J122" s="7" t="s">
        <v>21</v>
      </c>
      <c r="K122" s="9"/>
      <c r="L122" s="9">
        <f>SUM(K110:K121)+SUM(M110:M121)+L106-N122</f>
        <v>572748.11914875894</v>
      </c>
      <c r="M122" s="10"/>
      <c r="N122" s="68">
        <f>MAX(O110:O121)</f>
        <v>0</v>
      </c>
      <c r="O122" s="73"/>
      <c r="P122" s="20"/>
      <c r="Q122" s="20"/>
      <c r="R122" s="20"/>
      <c r="S122" s="21"/>
    </row>
    <row r="123" spans="4:19" x14ac:dyDescent="0.25">
      <c r="D123" s="19"/>
      <c r="E123" s="20"/>
      <c r="F123" s="20"/>
      <c r="G123" s="20"/>
      <c r="H123" s="20"/>
      <c r="I123" s="68"/>
      <c r="J123" s="20"/>
      <c r="K123" s="20"/>
      <c r="L123" s="20"/>
      <c r="M123" s="20"/>
      <c r="N123" s="68"/>
      <c r="O123" s="20"/>
      <c r="P123" s="20"/>
      <c r="Q123" s="20"/>
      <c r="R123" s="20"/>
      <c r="S123" s="21"/>
    </row>
    <row r="124" spans="4:19" x14ac:dyDescent="0.25">
      <c r="D124" s="19"/>
      <c r="E124" s="20"/>
      <c r="F124" s="20"/>
      <c r="G124" s="20"/>
      <c r="H124" s="20"/>
      <c r="I124" s="68"/>
      <c r="J124" s="114" t="s">
        <v>24</v>
      </c>
      <c r="K124" s="115"/>
      <c r="L124" s="115"/>
      <c r="M124" s="116"/>
      <c r="N124" s="75"/>
      <c r="O124" s="90" t="s">
        <v>73</v>
      </c>
      <c r="P124" s="20"/>
      <c r="Q124" s="20"/>
      <c r="R124" s="20"/>
      <c r="S124" s="21"/>
    </row>
    <row r="125" spans="4:19" x14ac:dyDescent="0.25">
      <c r="D125" s="19"/>
      <c r="E125" s="20"/>
      <c r="F125" s="20"/>
      <c r="G125" s="20"/>
      <c r="H125" s="70" t="s">
        <v>68</v>
      </c>
      <c r="I125" s="68"/>
      <c r="J125" s="1" t="s">
        <v>1</v>
      </c>
      <c r="K125" s="2" t="s">
        <v>14</v>
      </c>
      <c r="L125" s="2" t="s">
        <v>0</v>
      </c>
      <c r="M125" s="3" t="s">
        <v>15</v>
      </c>
      <c r="N125" s="3"/>
      <c r="O125" s="86" t="s">
        <v>72</v>
      </c>
      <c r="P125" s="20" t="s">
        <v>38</v>
      </c>
      <c r="Q125" s="20"/>
      <c r="R125" s="20"/>
      <c r="S125" s="21"/>
    </row>
    <row r="126" spans="4:19" x14ac:dyDescent="0.25">
      <c r="D126" s="19"/>
      <c r="E126" s="20"/>
      <c r="F126" s="20"/>
      <c r="G126" s="20"/>
      <c r="H126" s="71" t="s">
        <v>69</v>
      </c>
      <c r="I126" s="68"/>
      <c r="J126" s="4" t="s">
        <v>2</v>
      </c>
      <c r="K126" s="32">
        <v>5000</v>
      </c>
      <c r="L126" s="29">
        <f>$L$122+IF(H126="before 5th",K126,0)</f>
        <v>577748.11914875894</v>
      </c>
      <c r="M126" s="6">
        <f>L126*$P$126/12</f>
        <v>4188.6738638285015</v>
      </c>
      <c r="N126" s="83">
        <f>IF(O126=MAX($O$126:$O$137),O126,IF(N125=MAX($O$126:$O$137),N125,0))</f>
        <v>0</v>
      </c>
      <c r="O126" s="87"/>
      <c r="P126" s="88">
        <v>8.6999999999999994E-2</v>
      </c>
      <c r="Q126" s="20"/>
      <c r="R126" s="20"/>
      <c r="S126" s="21"/>
    </row>
    <row r="127" spans="4:19" x14ac:dyDescent="0.25">
      <c r="D127" s="19" t="str">
        <f>IF($M$9=0,"Withdrawal limit","")</f>
        <v>Withdrawal limit</v>
      </c>
      <c r="E127" s="20"/>
      <c r="F127" s="20">
        <f>IF($M$9=0,50%*MIN(L122,L74),"")</f>
        <v>143024.74624361622</v>
      </c>
      <c r="G127" s="20"/>
      <c r="H127" s="71" t="s">
        <v>69</v>
      </c>
      <c r="I127" s="68"/>
      <c r="J127" s="4" t="s">
        <v>3</v>
      </c>
      <c r="K127" s="32">
        <v>5000</v>
      </c>
      <c r="L127" s="29">
        <f>SUM($K$126:K126)+$L$122+IF(H127="before 5th",K127,0)</f>
        <v>582748.11914875894</v>
      </c>
      <c r="M127" s="6">
        <f t="shared" ref="M127:M137" si="9">L127*$P$126/12</f>
        <v>4224.9238638285015</v>
      </c>
      <c r="N127" s="83">
        <f t="shared" ref="N127:N137" si="10">IF(O127=MAX($O$126:$O$137),O127,IF(N126=MAX($O$126:$O$137),N126,0))</f>
        <v>0</v>
      </c>
      <c r="O127" s="87"/>
      <c r="P127" s="20" t="s">
        <v>40</v>
      </c>
      <c r="Q127" s="20"/>
      <c r="R127" s="20"/>
      <c r="S127" s="21"/>
    </row>
    <row r="128" spans="4:19" x14ac:dyDescent="0.25">
      <c r="D128" s="19"/>
      <c r="E128" s="20"/>
      <c r="F128" s="20"/>
      <c r="G128" s="20"/>
      <c r="H128" s="71" t="s">
        <v>69</v>
      </c>
      <c r="I128" s="68"/>
      <c r="J128" s="4" t="s">
        <v>4</v>
      </c>
      <c r="K128" s="32">
        <v>5000</v>
      </c>
      <c r="L128" s="29">
        <f>SUM($K$126:K127)+$L$122+IF(H128="before 5th",K128,0)</f>
        <v>587748.11914875894</v>
      </c>
      <c r="M128" s="6">
        <f t="shared" si="9"/>
        <v>4261.1738638285015</v>
      </c>
      <c r="N128" s="83">
        <f t="shared" si="10"/>
        <v>0</v>
      </c>
      <c r="O128" s="87"/>
      <c r="P128" s="89">
        <v>150000</v>
      </c>
      <c r="Q128" s="20"/>
      <c r="R128" s="20"/>
      <c r="S128" s="21"/>
    </row>
    <row r="129" spans="4:19" x14ac:dyDescent="0.25">
      <c r="D129" s="19"/>
      <c r="E129" s="20"/>
      <c r="F129" s="20"/>
      <c r="G129" s="20"/>
      <c r="H129" s="71" t="s">
        <v>69</v>
      </c>
      <c r="I129" s="68"/>
      <c r="J129" s="4" t="s">
        <v>5</v>
      </c>
      <c r="K129" s="32">
        <v>5000</v>
      </c>
      <c r="L129" s="29">
        <f>SUM($K$126:K128)+$L$122+IF(H129="before 5th",K129,0)</f>
        <v>592748.11914875894</v>
      </c>
      <c r="M129" s="6">
        <f t="shared" si="9"/>
        <v>4297.4238638285015</v>
      </c>
      <c r="N129" s="83">
        <f t="shared" si="10"/>
        <v>0</v>
      </c>
      <c r="O129" s="87"/>
      <c r="P129" s="41" t="str">
        <f>IF(SUM(K126:K137)&gt;P128,"Warning: total investment exceeds allowed limit","")</f>
        <v/>
      </c>
      <c r="Q129" s="49"/>
      <c r="R129" s="49"/>
      <c r="S129" s="50"/>
    </row>
    <row r="130" spans="4:19" x14ac:dyDescent="0.25">
      <c r="D130" s="19"/>
      <c r="E130" s="20"/>
      <c r="F130" s="20"/>
      <c r="G130" s="20"/>
      <c r="H130" s="71" t="s">
        <v>69</v>
      </c>
      <c r="I130" s="68"/>
      <c r="J130" s="4" t="s">
        <v>6</v>
      </c>
      <c r="K130" s="32">
        <v>5000</v>
      </c>
      <c r="L130" s="29">
        <f>SUM($K$126:K129)+$L$122+IF(H130="before 5th",K130,0)</f>
        <v>597748.11914875894</v>
      </c>
      <c r="M130" s="6">
        <f t="shared" si="9"/>
        <v>4333.6738638285015</v>
      </c>
      <c r="N130" s="83">
        <f t="shared" si="10"/>
        <v>0</v>
      </c>
      <c r="O130" s="87"/>
      <c r="P130" s="20"/>
      <c r="Q130" s="20"/>
      <c r="R130" s="20"/>
      <c r="S130" s="21"/>
    </row>
    <row r="131" spans="4:19" x14ac:dyDescent="0.25">
      <c r="D131" s="19"/>
      <c r="E131" s="20"/>
      <c r="F131" s="20"/>
      <c r="G131" s="20"/>
      <c r="H131" s="71" t="s">
        <v>69</v>
      </c>
      <c r="I131" s="68"/>
      <c r="J131" s="4" t="s">
        <v>7</v>
      </c>
      <c r="K131" s="32">
        <v>5000</v>
      </c>
      <c r="L131" s="29">
        <f>SUM($K$126:K130)+$L$122+IF(H131="before 5th",K131,0)</f>
        <v>602748.11914875894</v>
      </c>
      <c r="M131" s="6">
        <f t="shared" si="9"/>
        <v>4369.9238638285015</v>
      </c>
      <c r="N131" s="83">
        <f t="shared" si="10"/>
        <v>0</v>
      </c>
      <c r="O131" s="87"/>
      <c r="P131" s="84" t="str">
        <f>IF(N138&gt;F127,"Withdrawal is above limit","")</f>
        <v/>
      </c>
      <c r="Q131" s="76"/>
      <c r="R131" s="76"/>
      <c r="S131" s="85"/>
    </row>
    <row r="132" spans="4:19" x14ac:dyDescent="0.25">
      <c r="D132" s="19"/>
      <c r="E132" s="20"/>
      <c r="F132" s="20"/>
      <c r="G132" s="20"/>
      <c r="H132" s="71" t="s">
        <v>69</v>
      </c>
      <c r="I132" s="68"/>
      <c r="J132" s="4" t="s">
        <v>8</v>
      </c>
      <c r="K132" s="32">
        <v>5000</v>
      </c>
      <c r="L132" s="29">
        <f>SUM($K$126:K131)+$L$122+IF(H132="before 5th",K132,0)</f>
        <v>607748.11914875894</v>
      </c>
      <c r="M132" s="6">
        <f t="shared" si="9"/>
        <v>4406.1738638285015</v>
      </c>
      <c r="N132" s="83">
        <f t="shared" si="10"/>
        <v>0</v>
      </c>
      <c r="O132" s="87"/>
      <c r="P132" s="20"/>
      <c r="Q132" s="20"/>
      <c r="R132" s="20"/>
      <c r="S132" s="21"/>
    </row>
    <row r="133" spans="4:19" x14ac:dyDescent="0.25">
      <c r="D133" s="19"/>
      <c r="E133" s="20"/>
      <c r="F133" s="20"/>
      <c r="G133" s="20"/>
      <c r="H133" s="71" t="s">
        <v>69</v>
      </c>
      <c r="I133" s="68"/>
      <c r="J133" s="4" t="s">
        <v>9</v>
      </c>
      <c r="K133" s="32">
        <v>5000</v>
      </c>
      <c r="L133" s="29">
        <f>SUM($K$126:K132)+$L$122+IF(H133="before 5th",K133,0)</f>
        <v>612748.11914875894</v>
      </c>
      <c r="M133" s="6">
        <f t="shared" si="9"/>
        <v>4442.4238638285015</v>
      </c>
      <c r="N133" s="83">
        <f t="shared" si="10"/>
        <v>0</v>
      </c>
      <c r="O133" s="87"/>
      <c r="P133" s="20"/>
      <c r="Q133" s="20"/>
      <c r="R133" s="20"/>
      <c r="S133" s="21"/>
    </row>
    <row r="134" spans="4:19" x14ac:dyDescent="0.25">
      <c r="D134" s="19"/>
      <c r="E134" s="20"/>
      <c r="F134" s="20"/>
      <c r="G134" s="20"/>
      <c r="H134" s="71" t="s">
        <v>69</v>
      </c>
      <c r="I134" s="68"/>
      <c r="J134" s="4" t="s">
        <v>10</v>
      </c>
      <c r="K134" s="32">
        <v>5000</v>
      </c>
      <c r="L134" s="29">
        <f>SUM($K$126:K133)+$L$122+IF(H134="before 5th",K134,0)</f>
        <v>617748.11914875894</v>
      </c>
      <c r="M134" s="6">
        <f t="shared" si="9"/>
        <v>4478.6738638285015</v>
      </c>
      <c r="N134" s="83">
        <f t="shared" si="10"/>
        <v>0</v>
      </c>
      <c r="O134" s="87"/>
      <c r="P134" s="20"/>
      <c r="Q134" s="20"/>
      <c r="R134" s="20"/>
      <c r="S134" s="21"/>
    </row>
    <row r="135" spans="4:19" x14ac:dyDescent="0.25">
      <c r="D135" s="19"/>
      <c r="E135" s="20"/>
      <c r="F135" s="20"/>
      <c r="G135" s="20"/>
      <c r="H135" s="71" t="s">
        <v>69</v>
      </c>
      <c r="I135" s="68"/>
      <c r="J135" s="4" t="s">
        <v>11</v>
      </c>
      <c r="K135" s="32">
        <v>5000</v>
      </c>
      <c r="L135" s="29">
        <f>SUM($K$126:K134)+$L$122+IF(H135="before 5th",K135,0)</f>
        <v>622748.11914875894</v>
      </c>
      <c r="M135" s="6">
        <f t="shared" si="9"/>
        <v>4514.9238638285015</v>
      </c>
      <c r="N135" s="83">
        <f t="shared" si="10"/>
        <v>0</v>
      </c>
      <c r="O135" s="87"/>
      <c r="P135" s="68"/>
      <c r="Q135" s="68"/>
      <c r="R135" s="20"/>
      <c r="S135" s="21"/>
    </row>
    <row r="136" spans="4:19" x14ac:dyDescent="0.25">
      <c r="D136" s="19"/>
      <c r="E136" s="20"/>
      <c r="F136" s="20"/>
      <c r="G136" s="20"/>
      <c r="H136" s="71" t="s">
        <v>69</v>
      </c>
      <c r="I136" s="68"/>
      <c r="J136" s="4" t="s">
        <v>12</v>
      </c>
      <c r="K136" s="32">
        <v>5000</v>
      </c>
      <c r="L136" s="29">
        <f>SUM($K$126:K135)+$L$122+IF(H136="before 5th",K136,0)</f>
        <v>627748.11914875894</v>
      </c>
      <c r="M136" s="6">
        <f t="shared" si="9"/>
        <v>4551.1738638285015</v>
      </c>
      <c r="N136" s="83">
        <f t="shared" si="10"/>
        <v>0</v>
      </c>
      <c r="O136" s="87"/>
      <c r="P136" s="68"/>
      <c r="Q136" s="68"/>
      <c r="R136" s="20"/>
      <c r="S136" s="21"/>
    </row>
    <row r="137" spans="4:19" x14ac:dyDescent="0.25">
      <c r="D137" s="19"/>
      <c r="E137" s="20"/>
      <c r="F137" s="20"/>
      <c r="G137" s="20"/>
      <c r="H137" s="71" t="s">
        <v>69</v>
      </c>
      <c r="I137" s="68"/>
      <c r="J137" s="4" t="s">
        <v>13</v>
      </c>
      <c r="K137" s="32">
        <v>5000</v>
      </c>
      <c r="L137" s="29">
        <f>SUM($K$126:K136)+$L$122+IF(H137="before 5th",K137,0)</f>
        <v>632748.11914875894</v>
      </c>
      <c r="M137" s="6">
        <f t="shared" si="9"/>
        <v>4587.4238638285015</v>
      </c>
      <c r="N137" s="83">
        <f t="shared" si="10"/>
        <v>0</v>
      </c>
      <c r="O137" s="87"/>
      <c r="P137" s="68"/>
      <c r="Q137" s="68"/>
      <c r="R137" s="20"/>
      <c r="S137" s="21"/>
    </row>
    <row r="138" spans="4:19" x14ac:dyDescent="0.25">
      <c r="D138" s="19"/>
      <c r="E138" s="20"/>
      <c r="F138" s="20"/>
      <c r="G138" s="20"/>
      <c r="H138" s="20"/>
      <c r="I138" s="68"/>
      <c r="J138" s="7" t="s">
        <v>21</v>
      </c>
      <c r="K138" s="9"/>
      <c r="L138" s="9">
        <f>SUM(K126:K137)+SUM(M126:M137)+L122-N138</f>
        <v>685404.70551470097</v>
      </c>
      <c r="M138" s="10"/>
      <c r="N138" s="68">
        <f>MAX(O126:O137)</f>
        <v>0</v>
      </c>
      <c r="O138" s="73"/>
      <c r="P138" s="20"/>
      <c r="Q138" s="20"/>
      <c r="R138" s="20"/>
      <c r="S138" s="21"/>
    </row>
    <row r="139" spans="4:19" x14ac:dyDescent="0.25">
      <c r="D139" s="19"/>
      <c r="E139" s="20"/>
      <c r="F139" s="20"/>
      <c r="G139" s="20"/>
      <c r="H139" s="20"/>
      <c r="I139" s="68"/>
      <c r="J139" s="20"/>
      <c r="K139" s="20"/>
      <c r="L139" s="20"/>
      <c r="M139" s="20"/>
      <c r="N139" s="20"/>
      <c r="O139" s="20"/>
      <c r="P139" s="20"/>
      <c r="Q139" s="20"/>
      <c r="R139" s="20"/>
      <c r="S139" s="21"/>
    </row>
    <row r="140" spans="4:19" x14ac:dyDescent="0.25">
      <c r="D140" s="19"/>
      <c r="E140" s="20"/>
      <c r="F140" s="20"/>
      <c r="G140" s="20"/>
      <c r="H140" s="20"/>
      <c r="I140" s="68"/>
      <c r="J140" s="114" t="s">
        <v>25</v>
      </c>
      <c r="K140" s="115"/>
      <c r="L140" s="115"/>
      <c r="M140" s="116"/>
      <c r="N140" s="75"/>
      <c r="O140" s="90" t="s">
        <v>73</v>
      </c>
      <c r="P140" s="20"/>
      <c r="Q140" s="20"/>
      <c r="R140" s="20"/>
      <c r="S140" s="21"/>
    </row>
    <row r="141" spans="4:19" x14ac:dyDescent="0.25">
      <c r="D141" s="19"/>
      <c r="E141" s="20"/>
      <c r="F141" s="20"/>
      <c r="G141" s="20"/>
      <c r="H141" s="70" t="s">
        <v>68</v>
      </c>
      <c r="I141" s="68"/>
      <c r="J141" s="1" t="s">
        <v>1</v>
      </c>
      <c r="K141" s="2" t="s">
        <v>14</v>
      </c>
      <c r="L141" s="2" t="s">
        <v>0</v>
      </c>
      <c r="M141" s="3" t="s">
        <v>15</v>
      </c>
      <c r="N141" s="3"/>
      <c r="O141" s="86" t="s">
        <v>72</v>
      </c>
      <c r="P141" s="20" t="s">
        <v>38</v>
      </c>
      <c r="Q141" s="20"/>
      <c r="R141" s="20"/>
      <c r="S141" s="21"/>
    </row>
    <row r="142" spans="4:19" x14ac:dyDescent="0.25">
      <c r="D142" s="19"/>
      <c r="E142" s="20"/>
      <c r="F142" s="20"/>
      <c r="G142" s="20"/>
      <c r="H142" s="71" t="s">
        <v>69</v>
      </c>
      <c r="I142" s="68"/>
      <c r="J142" s="4" t="s">
        <v>2</v>
      </c>
      <c r="K142" s="32">
        <v>5000</v>
      </c>
      <c r="L142" s="29">
        <f>$L$138+IF(H142="before 5th",K142,0)</f>
        <v>690404.70551470097</v>
      </c>
      <c r="M142" s="6">
        <f>L142*$P$142/12</f>
        <v>5005.4341149815818</v>
      </c>
      <c r="N142" s="83">
        <f>IF(O142=MAX($O$142:$O$153),O142,IF(N141=MAX($O$142:$O$153),N141,0))</f>
        <v>0</v>
      </c>
      <c r="O142" s="87"/>
      <c r="P142" s="88">
        <v>8.6999999999999994E-2</v>
      </c>
      <c r="Q142" s="20"/>
      <c r="R142" s="20"/>
      <c r="S142" s="21"/>
    </row>
    <row r="143" spans="4:19" x14ac:dyDescent="0.25">
      <c r="D143" s="19" t="str">
        <f>IF($M$9=0,"Withdrawal limit","")</f>
        <v>Withdrawal limit</v>
      </c>
      <c r="E143" s="20"/>
      <c r="F143" s="20">
        <f>IF($M$9=0,50%*MIN(L138,L90),"")</f>
        <v>186881.64916681082</v>
      </c>
      <c r="G143" s="20"/>
      <c r="H143" s="71" t="s">
        <v>69</v>
      </c>
      <c r="I143" s="68"/>
      <c r="J143" s="4" t="s">
        <v>3</v>
      </c>
      <c r="K143" s="32">
        <v>5000</v>
      </c>
      <c r="L143" s="29">
        <f>SUM($K$142:K142)+$L$138+IF(H143="before 5th",K143,0)</f>
        <v>695404.70551470097</v>
      </c>
      <c r="M143" s="6">
        <f t="shared" ref="M143:M153" si="11">L143*$P$142/12</f>
        <v>5041.6841149815818</v>
      </c>
      <c r="N143" s="83">
        <f t="shared" ref="N143:N153" si="12">IF(O143=MAX($O$142:$O$153),O143,IF(N142=MAX($O$142:$O$153),N142,0))</f>
        <v>0</v>
      </c>
      <c r="O143" s="87"/>
      <c r="P143" s="20" t="s">
        <v>40</v>
      </c>
      <c r="Q143" s="20"/>
      <c r="R143" s="20"/>
      <c r="S143" s="21"/>
    </row>
    <row r="144" spans="4:19" x14ac:dyDescent="0.25">
      <c r="D144" s="19"/>
      <c r="E144" s="20"/>
      <c r="F144" s="20"/>
      <c r="G144" s="20"/>
      <c r="H144" s="71" t="s">
        <v>69</v>
      </c>
      <c r="I144" s="68"/>
      <c r="J144" s="4" t="s">
        <v>4</v>
      </c>
      <c r="K144" s="32">
        <v>5000</v>
      </c>
      <c r="L144" s="29">
        <f>SUM($K$142:K143)+$L$138+IF(H144="before 5th",K144,0)</f>
        <v>700404.70551470097</v>
      </c>
      <c r="M144" s="6">
        <f t="shared" si="11"/>
        <v>5077.9341149815818</v>
      </c>
      <c r="N144" s="83">
        <f t="shared" si="12"/>
        <v>0</v>
      </c>
      <c r="O144" s="87"/>
      <c r="P144" s="89">
        <v>150000</v>
      </c>
      <c r="Q144" s="20"/>
      <c r="R144" s="20"/>
      <c r="S144" s="21"/>
    </row>
    <row r="145" spans="4:19" x14ac:dyDescent="0.25">
      <c r="D145" s="19"/>
      <c r="E145" s="20"/>
      <c r="F145" s="20"/>
      <c r="G145" s="20"/>
      <c r="H145" s="71" t="s">
        <v>69</v>
      </c>
      <c r="I145" s="68"/>
      <c r="J145" s="4" t="s">
        <v>5</v>
      </c>
      <c r="K145" s="32">
        <v>5000</v>
      </c>
      <c r="L145" s="29">
        <f>SUM($K$142:K144)+$L$138+IF(H145="before 5th",K145,0)</f>
        <v>705404.70551470097</v>
      </c>
      <c r="M145" s="6">
        <f t="shared" si="11"/>
        <v>5114.1841149815818</v>
      </c>
      <c r="N145" s="83">
        <f t="shared" si="12"/>
        <v>0</v>
      </c>
      <c r="O145" s="87"/>
      <c r="P145" s="41" t="str">
        <f>IF(SUM(K142:K153)&gt;P144,"Warning: total investment exceeds allowed limit","")</f>
        <v/>
      </c>
      <c r="Q145" s="49"/>
      <c r="R145" s="49"/>
      <c r="S145" s="50"/>
    </row>
    <row r="146" spans="4:19" x14ac:dyDescent="0.25">
      <c r="D146" s="19"/>
      <c r="E146" s="20"/>
      <c r="F146" s="20"/>
      <c r="G146" s="20"/>
      <c r="H146" s="71" t="s">
        <v>69</v>
      </c>
      <c r="I146" s="68"/>
      <c r="J146" s="4" t="s">
        <v>6</v>
      </c>
      <c r="K146" s="32">
        <v>5000</v>
      </c>
      <c r="L146" s="29">
        <f>SUM($K$142:K145)+$L$138+IF(H146="before 5th",K146,0)</f>
        <v>710404.70551470097</v>
      </c>
      <c r="M146" s="6">
        <f t="shared" si="11"/>
        <v>5150.4341149815818</v>
      </c>
      <c r="N146" s="83">
        <f t="shared" si="12"/>
        <v>0</v>
      </c>
      <c r="O146" s="87"/>
      <c r="P146" s="20"/>
      <c r="Q146" s="20"/>
      <c r="R146" s="20"/>
      <c r="S146" s="21"/>
    </row>
    <row r="147" spans="4:19" x14ac:dyDescent="0.25">
      <c r="D147" s="19"/>
      <c r="E147" s="20"/>
      <c r="F147" s="20"/>
      <c r="G147" s="20"/>
      <c r="H147" s="71" t="s">
        <v>69</v>
      </c>
      <c r="I147" s="68"/>
      <c r="J147" s="4" t="s">
        <v>7</v>
      </c>
      <c r="K147" s="32">
        <v>5000</v>
      </c>
      <c r="L147" s="29">
        <f>SUM($K$142:K146)+$L$138+IF(H147="before 5th",K147,0)</f>
        <v>715404.70551470097</v>
      </c>
      <c r="M147" s="6">
        <f t="shared" si="11"/>
        <v>5186.6841149815818</v>
      </c>
      <c r="N147" s="83">
        <f t="shared" si="12"/>
        <v>0</v>
      </c>
      <c r="O147" s="87"/>
      <c r="P147" s="84" t="str">
        <f>IF(N154&gt;F143,"Withdrawal is above limit","")</f>
        <v/>
      </c>
      <c r="Q147" s="76"/>
      <c r="R147" s="76"/>
      <c r="S147" s="85"/>
    </row>
    <row r="148" spans="4:19" x14ac:dyDescent="0.25">
      <c r="D148" s="19"/>
      <c r="E148" s="20"/>
      <c r="F148" s="20"/>
      <c r="G148" s="20"/>
      <c r="H148" s="71" t="s">
        <v>69</v>
      </c>
      <c r="I148" s="68"/>
      <c r="J148" s="4" t="s">
        <v>8</v>
      </c>
      <c r="K148" s="32">
        <v>5000</v>
      </c>
      <c r="L148" s="29">
        <f>SUM($K$142:K147)+$L$138+IF(H148="before 5th",K148,0)</f>
        <v>720404.70551470097</v>
      </c>
      <c r="M148" s="6">
        <f t="shared" si="11"/>
        <v>5222.9341149815818</v>
      </c>
      <c r="N148" s="83">
        <f t="shared" si="12"/>
        <v>0</v>
      </c>
      <c r="O148" s="87"/>
      <c r="P148" s="20"/>
      <c r="Q148" s="20"/>
      <c r="R148" s="20"/>
      <c r="S148" s="21"/>
    </row>
    <row r="149" spans="4:19" x14ac:dyDescent="0.25">
      <c r="D149" s="19"/>
      <c r="E149" s="20"/>
      <c r="F149" s="20"/>
      <c r="G149" s="20"/>
      <c r="H149" s="71" t="s">
        <v>69</v>
      </c>
      <c r="I149" s="68"/>
      <c r="J149" s="4" t="s">
        <v>9</v>
      </c>
      <c r="K149" s="32">
        <v>5000</v>
      </c>
      <c r="L149" s="29">
        <f>SUM($K$142:K148)+$L$138+IF(H149="before 5th",K149,0)</f>
        <v>725404.70551470097</v>
      </c>
      <c r="M149" s="6">
        <f t="shared" si="11"/>
        <v>5259.1841149815818</v>
      </c>
      <c r="N149" s="83">
        <f t="shared" si="12"/>
        <v>0</v>
      </c>
      <c r="O149" s="87"/>
      <c r="P149" s="20"/>
      <c r="Q149" s="20"/>
      <c r="R149" s="20"/>
      <c r="S149" s="21"/>
    </row>
    <row r="150" spans="4:19" x14ac:dyDescent="0.25">
      <c r="D150" s="19"/>
      <c r="E150" s="20"/>
      <c r="F150" s="20"/>
      <c r="G150" s="20"/>
      <c r="H150" s="71" t="s">
        <v>69</v>
      </c>
      <c r="I150" s="68"/>
      <c r="J150" s="4" t="s">
        <v>10</v>
      </c>
      <c r="K150" s="32">
        <v>5000</v>
      </c>
      <c r="L150" s="29">
        <f>SUM($K$142:K149)+$L$138+IF(H150="before 5th",K150,0)</f>
        <v>730404.70551470097</v>
      </c>
      <c r="M150" s="6">
        <f t="shared" si="11"/>
        <v>5295.4341149815818</v>
      </c>
      <c r="N150" s="83">
        <f t="shared" si="12"/>
        <v>0</v>
      </c>
      <c r="O150" s="87"/>
      <c r="P150" s="20"/>
      <c r="Q150" s="20"/>
      <c r="R150" s="20"/>
      <c r="S150" s="21"/>
    </row>
    <row r="151" spans="4:19" x14ac:dyDescent="0.25">
      <c r="D151" s="19"/>
      <c r="E151" s="20"/>
      <c r="F151" s="20"/>
      <c r="G151" s="20"/>
      <c r="H151" s="71" t="s">
        <v>69</v>
      </c>
      <c r="I151" s="68"/>
      <c r="J151" s="4" t="s">
        <v>11</v>
      </c>
      <c r="K151" s="32">
        <v>5000</v>
      </c>
      <c r="L151" s="29">
        <f>SUM($K$142:K150)+$L$138+IF(H151="before 5th",K151,0)</f>
        <v>735404.70551470097</v>
      </c>
      <c r="M151" s="6">
        <f t="shared" si="11"/>
        <v>5331.6841149815818</v>
      </c>
      <c r="N151" s="83">
        <f t="shared" si="12"/>
        <v>0</v>
      </c>
      <c r="O151" s="87"/>
      <c r="P151" s="68"/>
      <c r="Q151" s="68"/>
      <c r="R151" s="20"/>
      <c r="S151" s="21"/>
    </row>
    <row r="152" spans="4:19" x14ac:dyDescent="0.25">
      <c r="D152" s="19"/>
      <c r="E152" s="20"/>
      <c r="F152" s="20"/>
      <c r="G152" s="20"/>
      <c r="H152" s="71" t="s">
        <v>69</v>
      </c>
      <c r="I152" s="68"/>
      <c r="J152" s="4" t="s">
        <v>12</v>
      </c>
      <c r="K152" s="32">
        <v>5000</v>
      </c>
      <c r="L152" s="29">
        <f>SUM($K$142:K151)+$L$138+IF(H152="before 5th",K152,0)</f>
        <v>740404.70551470097</v>
      </c>
      <c r="M152" s="6">
        <f t="shared" si="11"/>
        <v>5367.9341149815818</v>
      </c>
      <c r="N152" s="83">
        <f t="shared" si="12"/>
        <v>0</v>
      </c>
      <c r="O152" s="87"/>
      <c r="P152" s="68"/>
      <c r="Q152" s="68"/>
      <c r="R152" s="20"/>
      <c r="S152" s="21"/>
    </row>
    <row r="153" spans="4:19" x14ac:dyDescent="0.25">
      <c r="D153" s="19"/>
      <c r="E153" s="20"/>
      <c r="F153" s="20"/>
      <c r="G153" s="20"/>
      <c r="H153" s="71" t="s">
        <v>69</v>
      </c>
      <c r="I153" s="68"/>
      <c r="J153" s="4" t="s">
        <v>13</v>
      </c>
      <c r="K153" s="32">
        <v>5000</v>
      </c>
      <c r="L153" s="29">
        <f>SUM($K$142:K152)+$L$138+IF(H153="before 5th",K153,0)</f>
        <v>745404.70551470097</v>
      </c>
      <c r="M153" s="6">
        <f t="shared" si="11"/>
        <v>5404.1841149815818</v>
      </c>
      <c r="N153" s="83">
        <f t="shared" si="12"/>
        <v>0</v>
      </c>
      <c r="O153" s="87"/>
      <c r="P153" s="68"/>
      <c r="Q153" s="68"/>
      <c r="R153" s="20"/>
      <c r="S153" s="21"/>
    </row>
    <row r="154" spans="4:19" x14ac:dyDescent="0.25">
      <c r="D154" s="19"/>
      <c r="E154" s="20"/>
      <c r="F154" s="20"/>
      <c r="G154" s="20"/>
      <c r="H154" s="20"/>
      <c r="I154" s="68"/>
      <c r="J154" s="7" t="s">
        <v>21</v>
      </c>
      <c r="K154" s="9"/>
      <c r="L154" s="9">
        <f>SUM(K142:K153)+SUM(M142:M153)+L138-N154</f>
        <v>807862.41489447991</v>
      </c>
      <c r="M154" s="10"/>
      <c r="N154" s="68">
        <f>MAX(O142:O153)</f>
        <v>0</v>
      </c>
      <c r="O154" s="73"/>
      <c r="P154" s="20"/>
      <c r="Q154" s="20"/>
      <c r="R154" s="20"/>
      <c r="S154" s="21"/>
    </row>
    <row r="155" spans="4:19" x14ac:dyDescent="0.25">
      <c r="D155" s="19"/>
      <c r="E155" s="20"/>
      <c r="F155" s="20"/>
      <c r="G155" s="20"/>
      <c r="H155" s="20"/>
      <c r="I155" s="68"/>
      <c r="J155" s="20"/>
      <c r="K155" s="20"/>
      <c r="L155" s="20"/>
      <c r="M155" s="20"/>
      <c r="N155" s="20"/>
      <c r="O155" s="20"/>
      <c r="P155" s="20"/>
      <c r="Q155" s="20"/>
      <c r="R155" s="20"/>
      <c r="S155" s="21"/>
    </row>
    <row r="156" spans="4:19" x14ac:dyDescent="0.25">
      <c r="D156" s="19"/>
      <c r="E156" s="20"/>
      <c r="F156" s="20"/>
      <c r="G156" s="20"/>
      <c r="H156" s="20"/>
      <c r="I156" s="68"/>
      <c r="J156" s="114" t="s">
        <v>26</v>
      </c>
      <c r="K156" s="115"/>
      <c r="L156" s="115"/>
      <c r="M156" s="116"/>
      <c r="N156" s="75"/>
      <c r="O156" s="90" t="s">
        <v>73</v>
      </c>
      <c r="P156" s="20"/>
      <c r="Q156" s="20"/>
      <c r="R156" s="20"/>
      <c r="S156" s="21"/>
    </row>
    <row r="157" spans="4:19" x14ac:dyDescent="0.25">
      <c r="D157" s="19"/>
      <c r="E157" s="20"/>
      <c r="F157" s="20"/>
      <c r="G157" s="20"/>
      <c r="H157" s="70" t="s">
        <v>68</v>
      </c>
      <c r="I157" s="68"/>
      <c r="J157" s="1" t="s">
        <v>1</v>
      </c>
      <c r="K157" s="2" t="s">
        <v>14</v>
      </c>
      <c r="L157" s="2" t="s">
        <v>0</v>
      </c>
      <c r="M157" s="3" t="s">
        <v>15</v>
      </c>
      <c r="N157" s="3"/>
      <c r="O157" s="86" t="s">
        <v>72</v>
      </c>
      <c r="P157" s="20" t="s">
        <v>38</v>
      </c>
      <c r="Q157" s="20"/>
      <c r="R157" s="20"/>
      <c r="S157" s="21"/>
    </row>
    <row r="158" spans="4:19" x14ac:dyDescent="0.25">
      <c r="D158" s="19"/>
      <c r="E158" s="20"/>
      <c r="F158" s="20"/>
      <c r="G158" s="20"/>
      <c r="H158" s="71" t="s">
        <v>69</v>
      </c>
      <c r="I158" s="68"/>
      <c r="J158" s="4" t="s">
        <v>2</v>
      </c>
      <c r="K158" s="32">
        <v>5000</v>
      </c>
      <c r="L158" s="29">
        <f>$L$154+IF(H158="before 5th",K158,0)</f>
        <v>812862.41489447991</v>
      </c>
      <c r="M158" s="6">
        <f>L158*$P$158/12</f>
        <v>5893.2525079849793</v>
      </c>
      <c r="N158" s="83">
        <f>IF(O158=MAX($O$158:$O$169),O158,IF(N157=MAX($O$158:$O$169),N157,0))</f>
        <v>0</v>
      </c>
      <c r="O158" s="87"/>
      <c r="P158" s="88">
        <v>8.6999999999999994E-2</v>
      </c>
      <c r="Q158" s="20"/>
      <c r="R158" s="20"/>
      <c r="S158" s="21"/>
    </row>
    <row r="159" spans="4:19" x14ac:dyDescent="0.25">
      <c r="D159" s="19" t="str">
        <f>IF($M$9=0,"Withdrawal limit","")</f>
        <v>Withdrawal limit</v>
      </c>
      <c r="E159" s="20"/>
      <c r="F159" s="20">
        <f>IF($M$9=0,50%*MIN(L154,L106),"")</f>
        <v>234554.10264432337</v>
      </c>
      <c r="G159" s="20"/>
      <c r="H159" s="71" t="s">
        <v>69</v>
      </c>
      <c r="I159" s="68"/>
      <c r="J159" s="4" t="s">
        <v>3</v>
      </c>
      <c r="K159" s="32">
        <v>5000</v>
      </c>
      <c r="L159" s="29">
        <f>SUM($K$158:K158)+$L$154+IF(H159="before 5th",K159,0)</f>
        <v>817862.41489447991</v>
      </c>
      <c r="M159" s="6">
        <f t="shared" ref="M159:M169" si="13">L159*$P$158/12</f>
        <v>5929.5025079849793</v>
      </c>
      <c r="N159" s="83">
        <f t="shared" ref="N159:N169" si="14">IF(O159=MAX($O$158:$O$169),O159,IF(N158=MAX($O$158:$O$169),N158,0))</f>
        <v>0</v>
      </c>
      <c r="O159" s="87"/>
      <c r="P159" s="20" t="s">
        <v>40</v>
      </c>
      <c r="Q159" s="20"/>
      <c r="R159" s="20"/>
      <c r="S159" s="21"/>
    </row>
    <row r="160" spans="4:19" x14ac:dyDescent="0.25">
      <c r="D160" s="19"/>
      <c r="E160" s="20"/>
      <c r="F160" s="20"/>
      <c r="G160" s="20"/>
      <c r="H160" s="71" t="s">
        <v>69</v>
      </c>
      <c r="I160" s="68"/>
      <c r="J160" s="4" t="s">
        <v>4</v>
      </c>
      <c r="K160" s="32">
        <v>5000</v>
      </c>
      <c r="L160" s="29">
        <f>SUM($K$158:K159)+$L$154+IF(H160="before 5th",K160,0)</f>
        <v>822862.41489447991</v>
      </c>
      <c r="M160" s="6">
        <f t="shared" si="13"/>
        <v>5965.7525079849793</v>
      </c>
      <c r="N160" s="83">
        <f t="shared" si="14"/>
        <v>0</v>
      </c>
      <c r="O160" s="87"/>
      <c r="P160" s="89">
        <v>150000</v>
      </c>
      <c r="Q160" s="20"/>
      <c r="R160" s="20"/>
      <c r="S160" s="21"/>
    </row>
    <row r="161" spans="4:19" x14ac:dyDescent="0.25">
      <c r="D161" s="19"/>
      <c r="E161" s="20"/>
      <c r="F161" s="20"/>
      <c r="G161" s="20"/>
      <c r="H161" s="71" t="s">
        <v>69</v>
      </c>
      <c r="I161" s="68"/>
      <c r="J161" s="4" t="s">
        <v>5</v>
      </c>
      <c r="K161" s="32">
        <v>5000</v>
      </c>
      <c r="L161" s="29">
        <f>SUM($K$158:K160)+$L$154+IF(H161="before 5th",K161,0)</f>
        <v>827862.41489447991</v>
      </c>
      <c r="M161" s="6">
        <f t="shared" si="13"/>
        <v>6002.0025079849793</v>
      </c>
      <c r="N161" s="83">
        <f t="shared" si="14"/>
        <v>0</v>
      </c>
      <c r="O161" s="87"/>
      <c r="P161" s="41" t="str">
        <f>IF(SUM(K158:K169)&gt;P160,"Warning: total investment exceeds allowed limit","")</f>
        <v/>
      </c>
      <c r="Q161" s="49"/>
      <c r="R161" s="49"/>
      <c r="S161" s="50"/>
    </row>
    <row r="162" spans="4:19" x14ac:dyDescent="0.25">
      <c r="D162" s="19"/>
      <c r="E162" s="20"/>
      <c r="F162" s="20"/>
      <c r="G162" s="20"/>
      <c r="H162" s="71" t="s">
        <v>69</v>
      </c>
      <c r="I162" s="68"/>
      <c r="J162" s="4" t="s">
        <v>6</v>
      </c>
      <c r="K162" s="32">
        <v>5000</v>
      </c>
      <c r="L162" s="29">
        <f>SUM($K$158:K161)+$L$154+IF(H162="before 5th",K162,0)</f>
        <v>832862.41489447991</v>
      </c>
      <c r="M162" s="6">
        <f t="shared" si="13"/>
        <v>6038.2525079849793</v>
      </c>
      <c r="N162" s="83">
        <f t="shared" si="14"/>
        <v>0</v>
      </c>
      <c r="O162" s="87"/>
      <c r="P162" s="20"/>
      <c r="Q162" s="20"/>
      <c r="R162" s="20"/>
      <c r="S162" s="21"/>
    </row>
    <row r="163" spans="4:19" x14ac:dyDescent="0.25">
      <c r="D163" s="19"/>
      <c r="E163" s="20"/>
      <c r="F163" s="20"/>
      <c r="G163" s="20"/>
      <c r="H163" s="71" t="s">
        <v>69</v>
      </c>
      <c r="I163" s="68"/>
      <c r="J163" s="4" t="s">
        <v>7</v>
      </c>
      <c r="K163" s="32">
        <v>5000</v>
      </c>
      <c r="L163" s="29">
        <f>SUM($K$158:K162)+$L$154+IF(H163="before 5th",K163,0)</f>
        <v>837862.41489447991</v>
      </c>
      <c r="M163" s="6">
        <f t="shared" si="13"/>
        <v>6074.5025079849793</v>
      </c>
      <c r="N163" s="83">
        <f t="shared" si="14"/>
        <v>0</v>
      </c>
      <c r="O163" s="87"/>
      <c r="P163" s="84" t="str">
        <f>IF(N170&gt;F159,"Withdrawal is above limit","")</f>
        <v/>
      </c>
      <c r="Q163" s="76"/>
      <c r="R163" s="76"/>
      <c r="S163" s="85"/>
    </row>
    <row r="164" spans="4:19" x14ac:dyDescent="0.25">
      <c r="D164" s="19"/>
      <c r="E164" s="20"/>
      <c r="F164" s="20"/>
      <c r="G164" s="20"/>
      <c r="H164" s="71" t="s">
        <v>69</v>
      </c>
      <c r="I164" s="68"/>
      <c r="J164" s="4" t="s">
        <v>8</v>
      </c>
      <c r="K164" s="32">
        <v>5000</v>
      </c>
      <c r="L164" s="29">
        <f>SUM($K$158:K163)+$L$154+IF(H164="before 5th",K164,0)</f>
        <v>842862.41489447991</v>
      </c>
      <c r="M164" s="6">
        <f t="shared" si="13"/>
        <v>6110.7525079849793</v>
      </c>
      <c r="N164" s="83">
        <f t="shared" si="14"/>
        <v>0</v>
      </c>
      <c r="O164" s="87"/>
      <c r="P164" s="20"/>
      <c r="Q164" s="20"/>
      <c r="R164" s="20"/>
      <c r="S164" s="21"/>
    </row>
    <row r="165" spans="4:19" x14ac:dyDescent="0.25">
      <c r="D165" s="19"/>
      <c r="E165" s="20"/>
      <c r="F165" s="20"/>
      <c r="G165" s="20"/>
      <c r="H165" s="71" t="s">
        <v>69</v>
      </c>
      <c r="I165" s="68"/>
      <c r="J165" s="4" t="s">
        <v>9</v>
      </c>
      <c r="K165" s="32">
        <v>5000</v>
      </c>
      <c r="L165" s="29">
        <f>SUM($K$158:K164)+$L$154+IF(H165="before 5th",K165,0)</f>
        <v>847862.41489447991</v>
      </c>
      <c r="M165" s="6">
        <f t="shared" si="13"/>
        <v>6147.0025079849793</v>
      </c>
      <c r="N165" s="83">
        <f t="shared" si="14"/>
        <v>0</v>
      </c>
      <c r="O165" s="87"/>
      <c r="P165" s="20"/>
      <c r="Q165" s="20"/>
      <c r="R165" s="20"/>
      <c r="S165" s="21"/>
    </row>
    <row r="166" spans="4:19" x14ac:dyDescent="0.25">
      <c r="D166" s="19"/>
      <c r="E166" s="20"/>
      <c r="F166" s="20"/>
      <c r="G166" s="20"/>
      <c r="H166" s="71" t="s">
        <v>69</v>
      </c>
      <c r="I166" s="68"/>
      <c r="J166" s="4" t="s">
        <v>10</v>
      </c>
      <c r="K166" s="32">
        <v>5000</v>
      </c>
      <c r="L166" s="29">
        <f>SUM($K$158:K165)+$L$154+IF(H166="before 5th",K166,0)</f>
        <v>852862.41489447991</v>
      </c>
      <c r="M166" s="6">
        <f t="shared" si="13"/>
        <v>6183.2525079849793</v>
      </c>
      <c r="N166" s="83">
        <f t="shared" si="14"/>
        <v>0</v>
      </c>
      <c r="O166" s="87"/>
      <c r="P166" s="20"/>
      <c r="Q166" s="20"/>
      <c r="R166" s="20"/>
      <c r="S166" s="21"/>
    </row>
    <row r="167" spans="4:19" x14ac:dyDescent="0.25">
      <c r="D167" s="19"/>
      <c r="E167" s="20"/>
      <c r="F167" s="20"/>
      <c r="G167" s="20"/>
      <c r="H167" s="71" t="s">
        <v>69</v>
      </c>
      <c r="I167" s="68"/>
      <c r="J167" s="4" t="s">
        <v>11</v>
      </c>
      <c r="K167" s="32">
        <v>5000</v>
      </c>
      <c r="L167" s="29">
        <f>SUM($K$158:K166)+$L$154+IF(H167="before 5th",K167,0)</f>
        <v>857862.41489447991</v>
      </c>
      <c r="M167" s="6">
        <f t="shared" si="13"/>
        <v>6219.5025079849793</v>
      </c>
      <c r="N167" s="83">
        <f t="shared" si="14"/>
        <v>0</v>
      </c>
      <c r="O167" s="87"/>
      <c r="P167" s="68"/>
      <c r="Q167" s="68"/>
      <c r="R167" s="20"/>
      <c r="S167" s="21"/>
    </row>
    <row r="168" spans="4:19" x14ac:dyDescent="0.25">
      <c r="D168" s="19"/>
      <c r="E168" s="20"/>
      <c r="F168" s="20"/>
      <c r="G168" s="20"/>
      <c r="H168" s="71" t="s">
        <v>69</v>
      </c>
      <c r="I168" s="68"/>
      <c r="J168" s="4" t="s">
        <v>12</v>
      </c>
      <c r="K168" s="32">
        <v>5000</v>
      </c>
      <c r="L168" s="29">
        <f>SUM($K$158:K167)+$L$154+IF(H168="before 5th",K168,0)</f>
        <v>862862.41489447991</v>
      </c>
      <c r="M168" s="6">
        <f t="shared" si="13"/>
        <v>6255.7525079849793</v>
      </c>
      <c r="N168" s="83">
        <f t="shared" si="14"/>
        <v>0</v>
      </c>
      <c r="O168" s="87"/>
      <c r="P168" s="68"/>
      <c r="Q168" s="68"/>
      <c r="R168" s="20"/>
      <c r="S168" s="21"/>
    </row>
    <row r="169" spans="4:19" x14ac:dyDescent="0.25">
      <c r="D169" s="19"/>
      <c r="E169" s="20"/>
      <c r="F169" s="20"/>
      <c r="G169" s="20"/>
      <c r="H169" s="71" t="s">
        <v>69</v>
      </c>
      <c r="I169" s="68"/>
      <c r="J169" s="4" t="s">
        <v>13</v>
      </c>
      <c r="K169" s="32">
        <v>5000</v>
      </c>
      <c r="L169" s="29">
        <f>SUM($K$158:K168)+$L$154+IF(H169="before 5th",K169,0)</f>
        <v>867862.41489447991</v>
      </c>
      <c r="M169" s="6">
        <f t="shared" si="13"/>
        <v>6292.0025079849793</v>
      </c>
      <c r="N169" s="83">
        <f t="shared" si="14"/>
        <v>0</v>
      </c>
      <c r="O169" s="87"/>
      <c r="P169" s="68"/>
      <c r="Q169" s="68"/>
      <c r="R169" s="20"/>
      <c r="S169" s="21"/>
    </row>
    <row r="170" spans="4:19" x14ac:dyDescent="0.25">
      <c r="D170" s="19"/>
      <c r="E170" s="20"/>
      <c r="F170" s="20"/>
      <c r="G170" s="20"/>
      <c r="H170" s="20"/>
      <c r="I170" s="68"/>
      <c r="J170" s="7" t="s">
        <v>21</v>
      </c>
      <c r="K170" s="9"/>
      <c r="L170" s="9">
        <f>SUM(K158:K169)+SUM(M158:M169)+L154-N170</f>
        <v>940973.94499029964</v>
      </c>
      <c r="M170" s="10"/>
      <c r="N170" s="68">
        <f>MAX(O158:O169)</f>
        <v>0</v>
      </c>
      <c r="O170" s="73"/>
      <c r="P170" s="20"/>
      <c r="Q170" s="20"/>
      <c r="R170" s="20"/>
      <c r="S170" s="21"/>
    </row>
    <row r="171" spans="4:19" x14ac:dyDescent="0.25">
      <c r="D171" s="19"/>
      <c r="E171" s="20"/>
      <c r="F171" s="20"/>
      <c r="G171" s="20"/>
      <c r="H171" s="20"/>
      <c r="I171" s="68"/>
      <c r="J171" s="20"/>
      <c r="K171" s="20"/>
      <c r="L171" s="20"/>
      <c r="M171" s="20"/>
      <c r="N171" s="20"/>
      <c r="O171" s="20"/>
      <c r="P171" s="20"/>
      <c r="Q171" s="20"/>
      <c r="R171" s="20"/>
      <c r="S171" s="21"/>
    </row>
    <row r="172" spans="4:19" x14ac:dyDescent="0.25">
      <c r="D172" s="19"/>
      <c r="E172" s="20"/>
      <c r="F172" s="20"/>
      <c r="G172" s="20"/>
      <c r="H172" s="20"/>
      <c r="I172" s="68"/>
      <c r="J172" s="114" t="s">
        <v>27</v>
      </c>
      <c r="K172" s="115"/>
      <c r="L172" s="115"/>
      <c r="M172" s="116"/>
      <c r="N172" s="75"/>
      <c r="O172" s="90" t="s">
        <v>73</v>
      </c>
      <c r="P172" s="20"/>
      <c r="Q172" s="20"/>
      <c r="R172" s="20"/>
      <c r="S172" s="21"/>
    </row>
    <row r="173" spans="4:19" x14ac:dyDescent="0.25">
      <c r="D173" s="19"/>
      <c r="E173" s="20"/>
      <c r="F173" s="20"/>
      <c r="G173" s="20"/>
      <c r="H173" s="70" t="s">
        <v>68</v>
      </c>
      <c r="I173" s="68"/>
      <c r="J173" s="1" t="s">
        <v>1</v>
      </c>
      <c r="K173" s="2" t="s">
        <v>14</v>
      </c>
      <c r="L173" s="2" t="s">
        <v>0</v>
      </c>
      <c r="M173" s="3" t="s">
        <v>15</v>
      </c>
      <c r="N173" s="3"/>
      <c r="O173" s="86" t="s">
        <v>72</v>
      </c>
      <c r="P173" s="20" t="s">
        <v>38</v>
      </c>
      <c r="Q173" s="20"/>
      <c r="R173" s="20"/>
      <c r="S173" s="21"/>
    </row>
    <row r="174" spans="4:19" x14ac:dyDescent="0.25">
      <c r="D174" s="19"/>
      <c r="E174" s="20"/>
      <c r="F174" s="20"/>
      <c r="G174" s="20"/>
      <c r="H174" s="71" t="s">
        <v>69</v>
      </c>
      <c r="I174" s="68"/>
      <c r="J174" s="4" t="s">
        <v>2</v>
      </c>
      <c r="K174" s="32">
        <v>5000</v>
      </c>
      <c r="L174" s="29">
        <f>$L$170+IF(H174="before 5th",K174,0)</f>
        <v>945973.94499029964</v>
      </c>
      <c r="M174" s="6">
        <f>L174*$P$174/12</f>
        <v>6858.3111011796718</v>
      </c>
      <c r="N174" s="83">
        <f>IF(O174=MAX($O$174:$O$185),O174,IF(N173=MAX($O$174:$O$185),N173,0))</f>
        <v>0</v>
      </c>
      <c r="O174" s="87"/>
      <c r="P174" s="88">
        <v>8.6999999999999994E-2</v>
      </c>
      <c r="Q174" s="20"/>
      <c r="R174" s="20"/>
      <c r="S174" s="21"/>
    </row>
    <row r="175" spans="4:19" x14ac:dyDescent="0.25">
      <c r="D175" s="19" t="str">
        <f>IF($M$9=0,"Withdrawal limit","")</f>
        <v>Withdrawal limit</v>
      </c>
      <c r="E175" s="20"/>
      <c r="F175" s="20">
        <f>IF($M$9=0,50%*MIN(L170,L122),"")</f>
        <v>286374.05957437947</v>
      </c>
      <c r="G175" s="20"/>
      <c r="H175" s="71" t="s">
        <v>69</v>
      </c>
      <c r="I175" s="68"/>
      <c r="J175" s="4" t="s">
        <v>3</v>
      </c>
      <c r="K175" s="32">
        <v>5000</v>
      </c>
      <c r="L175" s="29">
        <f>SUM($K$174:K174)+$L$170+IF(H175="before 5th",K175,0)</f>
        <v>950973.94499029964</v>
      </c>
      <c r="M175" s="6">
        <f t="shared" ref="M175:M185" si="15">L175*$P$174/12</f>
        <v>6894.5611011796718</v>
      </c>
      <c r="N175" s="83">
        <f t="shared" ref="N175:N185" si="16">IF(O175=MAX($O$174:$O$185),O175,IF(N174=MAX($O$174:$O$185),N174,0))</f>
        <v>0</v>
      </c>
      <c r="O175" s="87"/>
      <c r="P175" s="20" t="s">
        <v>40</v>
      </c>
      <c r="Q175" s="20"/>
      <c r="R175" s="20"/>
      <c r="S175" s="21"/>
    </row>
    <row r="176" spans="4:19" x14ac:dyDescent="0.25">
      <c r="D176" s="19"/>
      <c r="E176" s="20"/>
      <c r="F176" s="20"/>
      <c r="G176" s="20"/>
      <c r="H176" s="71" t="s">
        <v>69</v>
      </c>
      <c r="I176" s="68"/>
      <c r="J176" s="4" t="s">
        <v>4</v>
      </c>
      <c r="K176" s="32">
        <v>5000</v>
      </c>
      <c r="L176" s="29">
        <f>SUM($K$174:K175)+$L$170+IF(H176="before 5th",K176,0)</f>
        <v>955973.94499029964</v>
      </c>
      <c r="M176" s="6">
        <f t="shared" si="15"/>
        <v>6930.8111011796718</v>
      </c>
      <c r="N176" s="83">
        <f t="shared" si="16"/>
        <v>0</v>
      </c>
      <c r="O176" s="87"/>
      <c r="P176" s="89">
        <v>150000</v>
      </c>
      <c r="Q176" s="20"/>
      <c r="R176" s="20"/>
      <c r="S176" s="21"/>
    </row>
    <row r="177" spans="4:19" x14ac:dyDescent="0.25">
      <c r="D177" s="19"/>
      <c r="E177" s="20"/>
      <c r="F177" s="20"/>
      <c r="G177" s="20"/>
      <c r="H177" s="71" t="s">
        <v>69</v>
      </c>
      <c r="I177" s="68"/>
      <c r="J177" s="4" t="s">
        <v>5</v>
      </c>
      <c r="K177" s="32">
        <v>5000</v>
      </c>
      <c r="L177" s="29">
        <f>SUM($K$174:K176)+$L$170+IF(H177="before 5th",K177,0)</f>
        <v>960973.94499029964</v>
      </c>
      <c r="M177" s="6">
        <f t="shared" si="15"/>
        <v>6967.0611011796718</v>
      </c>
      <c r="N177" s="83">
        <f t="shared" si="16"/>
        <v>0</v>
      </c>
      <c r="O177" s="87"/>
      <c r="P177" s="41" t="str">
        <f>IF(SUM(K174:K185)&gt;P176,"Warning: total investment exceeds allowed limit","")</f>
        <v/>
      </c>
      <c r="Q177" s="49"/>
      <c r="R177" s="49"/>
      <c r="S177" s="50"/>
    </row>
    <row r="178" spans="4:19" x14ac:dyDescent="0.25">
      <c r="D178" s="19"/>
      <c r="E178" s="20"/>
      <c r="F178" s="20"/>
      <c r="G178" s="20"/>
      <c r="H178" s="71" t="s">
        <v>69</v>
      </c>
      <c r="I178" s="68"/>
      <c r="J178" s="4" t="s">
        <v>6</v>
      </c>
      <c r="K178" s="32">
        <v>5000</v>
      </c>
      <c r="L178" s="29">
        <f>SUM($K$174:K177)+$L$170+IF(H178="before 5th",K178,0)</f>
        <v>965973.94499029964</v>
      </c>
      <c r="M178" s="6">
        <f t="shared" si="15"/>
        <v>7003.3111011796718</v>
      </c>
      <c r="N178" s="83">
        <f t="shared" si="16"/>
        <v>0</v>
      </c>
      <c r="O178" s="87"/>
      <c r="P178" s="20"/>
      <c r="Q178" s="20"/>
      <c r="R178" s="20"/>
      <c r="S178" s="21"/>
    </row>
    <row r="179" spans="4:19" x14ac:dyDescent="0.25">
      <c r="D179" s="19"/>
      <c r="E179" s="20"/>
      <c r="F179" s="20"/>
      <c r="G179" s="20"/>
      <c r="H179" s="71" t="s">
        <v>69</v>
      </c>
      <c r="I179" s="68"/>
      <c r="J179" s="4" t="s">
        <v>7</v>
      </c>
      <c r="K179" s="32">
        <v>5000</v>
      </c>
      <c r="L179" s="29">
        <f>SUM($K$174:K178)+$L$170+IF(H179="before 5th",K179,0)</f>
        <v>970973.94499029964</v>
      </c>
      <c r="M179" s="6">
        <f t="shared" si="15"/>
        <v>7039.5611011796718</v>
      </c>
      <c r="N179" s="83">
        <f t="shared" si="16"/>
        <v>0</v>
      </c>
      <c r="O179" s="87"/>
      <c r="P179" s="84" t="str">
        <f>IF(N186&gt;F175,"Withdrawal is above limit","")</f>
        <v/>
      </c>
      <c r="Q179" s="76"/>
      <c r="R179" s="76"/>
      <c r="S179" s="85"/>
    </row>
    <row r="180" spans="4:19" x14ac:dyDescent="0.25">
      <c r="D180" s="19"/>
      <c r="E180" s="20"/>
      <c r="F180" s="20"/>
      <c r="G180" s="20"/>
      <c r="H180" s="71" t="s">
        <v>69</v>
      </c>
      <c r="I180" s="68"/>
      <c r="J180" s="4" t="s">
        <v>8</v>
      </c>
      <c r="K180" s="32">
        <v>5000</v>
      </c>
      <c r="L180" s="29">
        <f>SUM($K$174:K179)+$L$170+IF(H180="before 5th",K180,0)</f>
        <v>975973.94499029964</v>
      </c>
      <c r="M180" s="6">
        <f t="shared" si="15"/>
        <v>7075.8111011796718</v>
      </c>
      <c r="N180" s="83">
        <f t="shared" si="16"/>
        <v>0</v>
      </c>
      <c r="O180" s="87"/>
      <c r="P180" s="20"/>
      <c r="Q180" s="20"/>
      <c r="R180" s="20"/>
      <c r="S180" s="21"/>
    </row>
    <row r="181" spans="4:19" x14ac:dyDescent="0.25">
      <c r="D181" s="19"/>
      <c r="E181" s="20"/>
      <c r="F181" s="20"/>
      <c r="G181" s="20"/>
      <c r="H181" s="71" t="s">
        <v>69</v>
      </c>
      <c r="I181" s="68"/>
      <c r="J181" s="4" t="s">
        <v>9</v>
      </c>
      <c r="K181" s="32">
        <v>5000</v>
      </c>
      <c r="L181" s="29">
        <f>SUM($K$174:K180)+$L$170+IF(H181="before 5th",K181,0)</f>
        <v>980973.94499029964</v>
      </c>
      <c r="M181" s="6">
        <f t="shared" si="15"/>
        <v>7112.0611011796718</v>
      </c>
      <c r="N181" s="83">
        <f t="shared" si="16"/>
        <v>0</v>
      </c>
      <c r="O181" s="87"/>
      <c r="P181" s="20"/>
      <c r="Q181" s="20"/>
      <c r="R181" s="20"/>
      <c r="S181" s="21"/>
    </row>
    <row r="182" spans="4:19" x14ac:dyDescent="0.25">
      <c r="D182" s="19"/>
      <c r="E182" s="20"/>
      <c r="F182" s="20"/>
      <c r="G182" s="20"/>
      <c r="H182" s="71" t="s">
        <v>69</v>
      </c>
      <c r="I182" s="68"/>
      <c r="J182" s="4" t="s">
        <v>10</v>
      </c>
      <c r="K182" s="32">
        <v>5000</v>
      </c>
      <c r="L182" s="29">
        <f>SUM($K$174:K181)+$L$170+IF(H182="before 5th",K182,0)</f>
        <v>985973.94499029964</v>
      </c>
      <c r="M182" s="6">
        <f t="shared" si="15"/>
        <v>7148.3111011796718</v>
      </c>
      <c r="N182" s="83">
        <f t="shared" si="16"/>
        <v>0</v>
      </c>
      <c r="O182" s="87"/>
      <c r="P182" s="20"/>
      <c r="Q182" s="20"/>
      <c r="R182" s="20"/>
      <c r="S182" s="21"/>
    </row>
    <row r="183" spans="4:19" x14ac:dyDescent="0.25">
      <c r="D183" s="19"/>
      <c r="E183" s="20"/>
      <c r="F183" s="20"/>
      <c r="G183" s="20"/>
      <c r="H183" s="71" t="s">
        <v>69</v>
      </c>
      <c r="I183" s="68"/>
      <c r="J183" s="4" t="s">
        <v>11</v>
      </c>
      <c r="K183" s="32">
        <v>5000</v>
      </c>
      <c r="L183" s="29">
        <f>SUM($K$174:K182)+$L$170+IF(H183="before 5th",K183,0)</f>
        <v>990973.94499029964</v>
      </c>
      <c r="M183" s="6">
        <f t="shared" si="15"/>
        <v>7184.5611011796718</v>
      </c>
      <c r="N183" s="83">
        <f t="shared" si="16"/>
        <v>0</v>
      </c>
      <c r="O183" s="87"/>
      <c r="P183" s="68"/>
      <c r="Q183" s="68"/>
      <c r="R183" s="20"/>
      <c r="S183" s="21"/>
    </row>
    <row r="184" spans="4:19" x14ac:dyDescent="0.25">
      <c r="D184" s="19"/>
      <c r="E184" s="20"/>
      <c r="F184" s="20"/>
      <c r="G184" s="20"/>
      <c r="H184" s="71" t="s">
        <v>69</v>
      </c>
      <c r="I184" s="68"/>
      <c r="J184" s="4" t="s">
        <v>12</v>
      </c>
      <c r="K184" s="32">
        <v>5000</v>
      </c>
      <c r="L184" s="29">
        <f>SUM($K$174:K183)+$L$170+IF(H184="before 5th",K184,0)</f>
        <v>995973.94499029964</v>
      </c>
      <c r="M184" s="6">
        <f t="shared" si="15"/>
        <v>7220.8111011796718</v>
      </c>
      <c r="N184" s="83">
        <f t="shared" si="16"/>
        <v>0</v>
      </c>
      <c r="O184" s="87"/>
      <c r="P184" s="68"/>
      <c r="Q184" s="68"/>
      <c r="R184" s="20"/>
      <c r="S184" s="21"/>
    </row>
    <row r="185" spans="4:19" x14ac:dyDescent="0.25">
      <c r="D185" s="19"/>
      <c r="E185" s="20"/>
      <c r="F185" s="20"/>
      <c r="G185" s="20"/>
      <c r="H185" s="71" t="s">
        <v>69</v>
      </c>
      <c r="I185" s="68"/>
      <c r="J185" s="4" t="s">
        <v>13</v>
      </c>
      <c r="K185" s="32">
        <v>5000</v>
      </c>
      <c r="L185" s="29">
        <f>SUM($K$174:K184)+$L$170+IF(H185="before 5th",K185,0)</f>
        <v>1000973.9449902996</v>
      </c>
      <c r="M185" s="6">
        <f t="shared" si="15"/>
        <v>7257.0611011796718</v>
      </c>
      <c r="N185" s="83">
        <f t="shared" si="16"/>
        <v>0</v>
      </c>
      <c r="O185" s="87"/>
      <c r="P185" s="68"/>
      <c r="Q185" s="68"/>
      <c r="R185" s="20"/>
      <c r="S185" s="21"/>
    </row>
    <row r="186" spans="4:19" x14ac:dyDescent="0.25">
      <c r="D186" s="19"/>
      <c r="E186" s="20"/>
      <c r="F186" s="20"/>
      <c r="G186" s="20"/>
      <c r="H186" s="20"/>
      <c r="I186" s="68"/>
      <c r="J186" s="7" t="s">
        <v>21</v>
      </c>
      <c r="K186" s="9"/>
      <c r="L186" s="9">
        <f>SUM(K174:K185)+SUM(M174:M185)+L170-N186</f>
        <v>1085666.1782044556</v>
      </c>
      <c r="M186" s="10"/>
      <c r="N186" s="68">
        <f>MAX(O174:O185)</f>
        <v>0</v>
      </c>
      <c r="O186" s="73"/>
      <c r="P186" s="20"/>
      <c r="Q186" s="20"/>
      <c r="R186" s="20"/>
      <c r="S186" s="21"/>
    </row>
    <row r="187" spans="4:19" x14ac:dyDescent="0.25">
      <c r="D187" s="19"/>
      <c r="E187" s="20"/>
      <c r="F187" s="20"/>
      <c r="G187" s="20"/>
      <c r="H187" s="20"/>
      <c r="I187" s="68"/>
      <c r="J187" s="20"/>
      <c r="K187" s="20"/>
      <c r="L187" s="20"/>
      <c r="M187" s="20"/>
      <c r="N187" s="20"/>
      <c r="O187" s="20"/>
      <c r="P187" s="20"/>
      <c r="Q187" s="20"/>
      <c r="R187" s="20"/>
      <c r="S187" s="21"/>
    </row>
    <row r="188" spans="4:19" x14ac:dyDescent="0.25">
      <c r="D188" s="19"/>
      <c r="E188" s="20"/>
      <c r="F188" s="20"/>
      <c r="G188" s="20"/>
      <c r="H188" s="20"/>
      <c r="I188" s="68"/>
      <c r="J188" s="114" t="s">
        <v>28</v>
      </c>
      <c r="K188" s="115"/>
      <c r="L188" s="115"/>
      <c r="M188" s="116"/>
      <c r="N188" s="75"/>
      <c r="O188" s="90" t="s">
        <v>73</v>
      </c>
      <c r="P188" s="20"/>
      <c r="Q188" s="20"/>
      <c r="R188" s="20"/>
      <c r="S188" s="21"/>
    </row>
    <row r="189" spans="4:19" x14ac:dyDescent="0.25">
      <c r="D189" s="19"/>
      <c r="E189" s="20"/>
      <c r="F189" s="20"/>
      <c r="G189" s="20"/>
      <c r="H189" s="70" t="s">
        <v>68</v>
      </c>
      <c r="I189" s="68"/>
      <c r="J189" s="1" t="s">
        <v>1</v>
      </c>
      <c r="K189" s="2" t="s">
        <v>14</v>
      </c>
      <c r="L189" s="2" t="s">
        <v>0</v>
      </c>
      <c r="M189" s="3" t="s">
        <v>15</v>
      </c>
      <c r="N189" s="3"/>
      <c r="O189" s="86" t="s">
        <v>72</v>
      </c>
      <c r="P189" s="20" t="s">
        <v>38</v>
      </c>
      <c r="Q189" s="20"/>
      <c r="R189" s="20"/>
      <c r="S189" s="21"/>
    </row>
    <row r="190" spans="4:19" x14ac:dyDescent="0.25">
      <c r="D190" s="19"/>
      <c r="E190" s="20"/>
      <c r="F190" s="20"/>
      <c r="G190" s="20"/>
      <c r="H190" s="71" t="s">
        <v>69</v>
      </c>
      <c r="I190" s="68"/>
      <c r="J190" s="4" t="s">
        <v>2</v>
      </c>
      <c r="K190" s="32">
        <v>5000</v>
      </c>
      <c r="L190" s="29">
        <f>$L$186+IF(H190="before 5th",K190,0)</f>
        <v>1090666.1782044556</v>
      </c>
      <c r="M190" s="6">
        <f>L190*$P$190/12</f>
        <v>7907.3297919823026</v>
      </c>
      <c r="N190" s="83">
        <f>IF(O190=MAX($O$190:$O$201),O190,IF(N189=MAX($O$190:$O$201),N189,0))</f>
        <v>0</v>
      </c>
      <c r="O190" s="87"/>
      <c r="P190" s="88">
        <v>8.6999999999999994E-2</v>
      </c>
      <c r="Q190" s="20"/>
      <c r="R190" s="20"/>
      <c r="S190" s="21"/>
    </row>
    <row r="191" spans="4:19" x14ac:dyDescent="0.25">
      <c r="D191" s="19" t="str">
        <f>IF($M$9=0,"Withdrawal limit","")</f>
        <v>Withdrawal limit</v>
      </c>
      <c r="E191" s="20"/>
      <c r="F191" s="20">
        <f>IF($M$9=0,50%*MIN(L186,L138),"")</f>
        <v>342702.35275735048</v>
      </c>
      <c r="G191" s="20"/>
      <c r="H191" s="71" t="s">
        <v>69</v>
      </c>
      <c r="I191" s="68"/>
      <c r="J191" s="4" t="s">
        <v>3</v>
      </c>
      <c r="K191" s="32">
        <v>5000</v>
      </c>
      <c r="L191" s="29">
        <f>SUM($K$190:K190)+$L$186+IF(H191="before 5th",K191,0)</f>
        <v>1095666.1782044556</v>
      </c>
      <c r="M191" s="6">
        <f t="shared" ref="M191:M201" si="17">L191*$P$190/12</f>
        <v>7943.5797919823026</v>
      </c>
      <c r="N191" s="83">
        <f t="shared" ref="N191:N201" si="18">IF(O191=MAX($O$190:$O$201),O191,IF(N190=MAX($O$190:$O$201),N190,0))</f>
        <v>0</v>
      </c>
      <c r="O191" s="87"/>
      <c r="P191" s="20" t="s">
        <v>40</v>
      </c>
      <c r="Q191" s="20"/>
      <c r="R191" s="20"/>
      <c r="S191" s="21"/>
    </row>
    <row r="192" spans="4:19" x14ac:dyDescent="0.25">
      <c r="D192" s="19"/>
      <c r="E192" s="20"/>
      <c r="F192" s="20"/>
      <c r="G192" s="20"/>
      <c r="H192" s="71" t="s">
        <v>69</v>
      </c>
      <c r="I192" s="68"/>
      <c r="J192" s="4" t="s">
        <v>4</v>
      </c>
      <c r="K192" s="32">
        <v>5000</v>
      </c>
      <c r="L192" s="29">
        <f>SUM($K$190:K191)+$L$186+IF(H192="before 5th",K192,0)</f>
        <v>1100666.1782044556</v>
      </c>
      <c r="M192" s="6">
        <f t="shared" si="17"/>
        <v>7979.8297919823026</v>
      </c>
      <c r="N192" s="83">
        <f t="shared" si="18"/>
        <v>0</v>
      </c>
      <c r="O192" s="87"/>
      <c r="P192" s="89">
        <v>150000</v>
      </c>
      <c r="Q192" s="20"/>
      <c r="R192" s="20"/>
      <c r="S192" s="21"/>
    </row>
    <row r="193" spans="4:19" x14ac:dyDescent="0.25">
      <c r="D193" s="19"/>
      <c r="E193" s="20"/>
      <c r="F193" s="20"/>
      <c r="G193" s="20"/>
      <c r="H193" s="71" t="s">
        <v>69</v>
      </c>
      <c r="I193" s="68"/>
      <c r="J193" s="4" t="s">
        <v>5</v>
      </c>
      <c r="K193" s="32">
        <v>5000</v>
      </c>
      <c r="L193" s="29">
        <f>SUM($K$190:K192)+$L$186+IF(H193="before 5th",K193,0)</f>
        <v>1105666.1782044556</v>
      </c>
      <c r="M193" s="6">
        <f t="shared" si="17"/>
        <v>8016.0797919823026</v>
      </c>
      <c r="N193" s="83">
        <f t="shared" si="18"/>
        <v>0</v>
      </c>
      <c r="O193" s="87"/>
      <c r="P193" s="41" t="str">
        <f>IF(SUM(K190:K201)&gt;P192,"Warning: total investment exceeds allowed limit","")</f>
        <v/>
      </c>
      <c r="Q193" s="49"/>
      <c r="R193" s="49"/>
      <c r="S193" s="50"/>
    </row>
    <row r="194" spans="4:19" x14ac:dyDescent="0.25">
      <c r="D194" s="19"/>
      <c r="E194" s="20"/>
      <c r="F194" s="20"/>
      <c r="G194" s="20"/>
      <c r="H194" s="71" t="s">
        <v>69</v>
      </c>
      <c r="I194" s="68"/>
      <c r="J194" s="4" t="s">
        <v>6</v>
      </c>
      <c r="K194" s="32">
        <v>5000</v>
      </c>
      <c r="L194" s="29">
        <f>SUM($K$190:K193)+$L$186+IF(H194="before 5th",K194,0)</f>
        <v>1110666.1782044556</v>
      </c>
      <c r="M194" s="6">
        <f t="shared" si="17"/>
        <v>8052.3297919823026</v>
      </c>
      <c r="N194" s="83">
        <f t="shared" si="18"/>
        <v>0</v>
      </c>
      <c r="O194" s="87"/>
      <c r="P194" s="20"/>
      <c r="Q194" s="20"/>
      <c r="R194" s="20"/>
      <c r="S194" s="21"/>
    </row>
    <row r="195" spans="4:19" x14ac:dyDescent="0.25">
      <c r="D195" s="19"/>
      <c r="E195" s="20"/>
      <c r="F195" s="20"/>
      <c r="G195" s="20"/>
      <c r="H195" s="71" t="s">
        <v>69</v>
      </c>
      <c r="I195" s="68"/>
      <c r="J195" s="4" t="s">
        <v>7</v>
      </c>
      <c r="K195" s="32">
        <v>5000</v>
      </c>
      <c r="L195" s="29">
        <f>SUM($K$190:K194)+$L$186+IF(H195="before 5th",K195,0)</f>
        <v>1115666.1782044556</v>
      </c>
      <c r="M195" s="6">
        <f t="shared" si="17"/>
        <v>8088.5797919823026</v>
      </c>
      <c r="N195" s="83">
        <f t="shared" si="18"/>
        <v>0</v>
      </c>
      <c r="O195" s="87"/>
      <c r="P195" s="84" t="str">
        <f>IF(N202&gt;F191,"Withdrawal is above limit","")</f>
        <v/>
      </c>
      <c r="Q195" s="76"/>
      <c r="R195" s="76"/>
      <c r="S195" s="85"/>
    </row>
    <row r="196" spans="4:19" x14ac:dyDescent="0.25">
      <c r="D196" s="19"/>
      <c r="E196" s="20"/>
      <c r="F196" s="20"/>
      <c r="G196" s="20"/>
      <c r="H196" s="71" t="s">
        <v>69</v>
      </c>
      <c r="I196" s="68"/>
      <c r="J196" s="4" t="s">
        <v>8</v>
      </c>
      <c r="K196" s="32">
        <v>5000</v>
      </c>
      <c r="L196" s="29">
        <f>SUM($K$190:K195)+$L$186+IF(H196="before 5th",K196,0)</f>
        <v>1120666.1782044556</v>
      </c>
      <c r="M196" s="6">
        <f t="shared" si="17"/>
        <v>8124.8297919823026</v>
      </c>
      <c r="N196" s="83">
        <f t="shared" si="18"/>
        <v>0</v>
      </c>
      <c r="O196" s="87"/>
      <c r="P196" s="20"/>
      <c r="Q196" s="20"/>
      <c r="R196" s="20"/>
      <c r="S196" s="21"/>
    </row>
    <row r="197" spans="4:19" x14ac:dyDescent="0.25">
      <c r="D197" s="19"/>
      <c r="E197" s="20"/>
      <c r="F197" s="20"/>
      <c r="G197" s="20"/>
      <c r="H197" s="71" t="s">
        <v>69</v>
      </c>
      <c r="I197" s="68"/>
      <c r="J197" s="4" t="s">
        <v>9</v>
      </c>
      <c r="K197" s="32">
        <v>5000</v>
      </c>
      <c r="L197" s="29">
        <f>SUM($K$190:K196)+$L$186+IF(H197="before 5th",K197,0)</f>
        <v>1125666.1782044556</v>
      </c>
      <c r="M197" s="6">
        <f t="shared" si="17"/>
        <v>8161.0797919823026</v>
      </c>
      <c r="N197" s="83">
        <f t="shared" si="18"/>
        <v>0</v>
      </c>
      <c r="O197" s="87"/>
      <c r="P197" s="20"/>
      <c r="Q197" s="20"/>
      <c r="R197" s="20"/>
      <c r="S197" s="21"/>
    </row>
    <row r="198" spans="4:19" x14ac:dyDescent="0.25">
      <c r="D198" s="19"/>
      <c r="E198" s="20"/>
      <c r="F198" s="20"/>
      <c r="G198" s="20"/>
      <c r="H198" s="71" t="s">
        <v>69</v>
      </c>
      <c r="I198" s="68"/>
      <c r="J198" s="4" t="s">
        <v>10</v>
      </c>
      <c r="K198" s="32">
        <v>5000</v>
      </c>
      <c r="L198" s="29">
        <f>SUM($K$190:K197)+$L$186+IF(H198="before 5th",K198,0)</f>
        <v>1130666.1782044556</v>
      </c>
      <c r="M198" s="6">
        <f t="shared" si="17"/>
        <v>8197.3297919823035</v>
      </c>
      <c r="N198" s="83">
        <f t="shared" si="18"/>
        <v>0</v>
      </c>
      <c r="O198" s="87"/>
      <c r="P198" s="20"/>
      <c r="Q198" s="20"/>
      <c r="R198" s="20"/>
      <c r="S198" s="21"/>
    </row>
    <row r="199" spans="4:19" x14ac:dyDescent="0.25">
      <c r="D199" s="19"/>
      <c r="E199" s="20"/>
      <c r="F199" s="20"/>
      <c r="G199" s="20"/>
      <c r="H199" s="71" t="s">
        <v>69</v>
      </c>
      <c r="I199" s="68"/>
      <c r="J199" s="4" t="s">
        <v>11</v>
      </c>
      <c r="K199" s="32">
        <v>5000</v>
      </c>
      <c r="L199" s="29">
        <f>SUM($K$190:K198)+$L$186+IF(H199="before 5th",K199,0)</f>
        <v>1135666.1782044556</v>
      </c>
      <c r="M199" s="6">
        <f t="shared" si="17"/>
        <v>8233.5797919823035</v>
      </c>
      <c r="N199" s="83">
        <f t="shared" si="18"/>
        <v>0</v>
      </c>
      <c r="O199" s="87"/>
      <c r="P199" s="68"/>
      <c r="Q199" s="68"/>
      <c r="R199" s="20"/>
      <c r="S199" s="21"/>
    </row>
    <row r="200" spans="4:19" x14ac:dyDescent="0.25">
      <c r="D200" s="19"/>
      <c r="E200" s="20"/>
      <c r="F200" s="20"/>
      <c r="G200" s="20"/>
      <c r="H200" s="71" t="s">
        <v>69</v>
      </c>
      <c r="I200" s="68"/>
      <c r="J200" s="4" t="s">
        <v>12</v>
      </c>
      <c r="K200" s="32">
        <v>5000</v>
      </c>
      <c r="L200" s="29">
        <f>SUM($K$190:K199)+$L$186+IF(H200="before 5th",K200,0)</f>
        <v>1140666.1782044556</v>
      </c>
      <c r="M200" s="6">
        <f t="shared" si="17"/>
        <v>8269.8297919823035</v>
      </c>
      <c r="N200" s="83">
        <f t="shared" si="18"/>
        <v>0</v>
      </c>
      <c r="O200" s="87"/>
      <c r="P200" s="68"/>
      <c r="Q200" s="68"/>
      <c r="R200" s="20"/>
      <c r="S200" s="21"/>
    </row>
    <row r="201" spans="4:19" x14ac:dyDescent="0.25">
      <c r="D201" s="19"/>
      <c r="E201" s="20"/>
      <c r="F201" s="20"/>
      <c r="G201" s="20"/>
      <c r="H201" s="71" t="s">
        <v>69</v>
      </c>
      <c r="I201" s="68"/>
      <c r="J201" s="4" t="s">
        <v>13</v>
      </c>
      <c r="K201" s="32">
        <v>5000</v>
      </c>
      <c r="L201" s="29">
        <f>SUM($K$190:K200)+$L$186+IF(H201="before 5th",K201,0)</f>
        <v>1145666.1782044556</v>
      </c>
      <c r="M201" s="6">
        <f t="shared" si="17"/>
        <v>8306.0797919823035</v>
      </c>
      <c r="N201" s="83">
        <f t="shared" si="18"/>
        <v>0</v>
      </c>
      <c r="O201" s="87"/>
      <c r="P201" s="68"/>
      <c r="Q201" s="68"/>
      <c r="R201" s="20"/>
      <c r="S201" s="21"/>
    </row>
    <row r="202" spans="4:19" x14ac:dyDescent="0.25">
      <c r="D202" s="19"/>
      <c r="E202" s="20"/>
      <c r="F202" s="20"/>
      <c r="G202" s="20"/>
      <c r="H202" s="20"/>
      <c r="I202" s="68"/>
      <c r="J202" s="7" t="s">
        <v>21</v>
      </c>
      <c r="K202" s="9"/>
      <c r="L202" s="9">
        <f>SUM(K190:K201)+SUM(M190:M201)+L186-N202</f>
        <v>1242946.6357082434</v>
      </c>
      <c r="M202" s="10"/>
      <c r="N202" s="68">
        <f>MAX(O190:O201)</f>
        <v>0</v>
      </c>
      <c r="O202" s="73"/>
      <c r="P202" s="20"/>
      <c r="Q202" s="20"/>
      <c r="R202" s="20"/>
      <c r="S202" s="21"/>
    </row>
    <row r="203" spans="4:19" x14ac:dyDescent="0.25">
      <c r="D203" s="19"/>
      <c r="E203" s="20"/>
      <c r="F203" s="20"/>
      <c r="G203" s="20"/>
      <c r="H203" s="20"/>
      <c r="I203" s="68"/>
      <c r="J203" s="20"/>
      <c r="K203" s="20"/>
      <c r="L203" s="20"/>
      <c r="M203" s="20"/>
      <c r="N203" s="20"/>
      <c r="O203" s="20"/>
      <c r="P203" s="20"/>
      <c r="Q203" s="20"/>
      <c r="R203" s="20"/>
      <c r="S203" s="21"/>
    </row>
    <row r="204" spans="4:19" x14ac:dyDescent="0.25">
      <c r="D204" s="19"/>
      <c r="E204" s="20"/>
      <c r="F204" s="20"/>
      <c r="G204" s="20"/>
      <c r="H204" s="20"/>
      <c r="I204" s="68"/>
      <c r="J204" s="114" t="s">
        <v>29</v>
      </c>
      <c r="K204" s="115"/>
      <c r="L204" s="115"/>
      <c r="M204" s="116"/>
      <c r="N204" s="75"/>
      <c r="O204" s="90" t="s">
        <v>73</v>
      </c>
      <c r="P204" s="20"/>
      <c r="Q204" s="20"/>
      <c r="R204" s="20"/>
      <c r="S204" s="21"/>
    </row>
    <row r="205" spans="4:19" x14ac:dyDescent="0.25">
      <c r="D205" s="19"/>
      <c r="E205" s="20"/>
      <c r="F205" s="20"/>
      <c r="G205" s="20"/>
      <c r="H205" s="70" t="s">
        <v>68</v>
      </c>
      <c r="I205" s="68"/>
      <c r="J205" s="1" t="s">
        <v>1</v>
      </c>
      <c r="K205" s="2" t="s">
        <v>14</v>
      </c>
      <c r="L205" s="2" t="s">
        <v>0</v>
      </c>
      <c r="M205" s="3" t="s">
        <v>15</v>
      </c>
      <c r="N205" s="3"/>
      <c r="O205" s="86" t="s">
        <v>72</v>
      </c>
      <c r="P205" s="20" t="s">
        <v>38</v>
      </c>
      <c r="Q205" s="20"/>
      <c r="R205" s="20"/>
      <c r="S205" s="21"/>
    </row>
    <row r="206" spans="4:19" x14ac:dyDescent="0.25">
      <c r="D206" s="19"/>
      <c r="E206" s="20"/>
      <c r="F206" s="20"/>
      <c r="G206" s="20"/>
      <c r="H206" s="71" t="s">
        <v>69</v>
      </c>
      <c r="I206" s="68"/>
      <c r="J206" s="4" t="s">
        <v>2</v>
      </c>
      <c r="K206" s="32">
        <v>5000</v>
      </c>
      <c r="L206" s="29">
        <f>$L$202+IF(H206="before 5th",K206,0)</f>
        <v>1247946.6357082434</v>
      </c>
      <c r="M206" s="6">
        <f>L206*$P$206/12</f>
        <v>9047.6131088847633</v>
      </c>
      <c r="N206" s="83">
        <f>IF(O206=MAX($O$206:$O$217),O206,IF(N205=MAX($O$206:$O$217),N205,0))</f>
        <v>0</v>
      </c>
      <c r="O206" s="87"/>
      <c r="P206" s="88">
        <v>8.6999999999999994E-2</v>
      </c>
      <c r="Q206" s="20"/>
      <c r="R206" s="20"/>
      <c r="S206" s="21"/>
    </row>
    <row r="207" spans="4:19" x14ac:dyDescent="0.25">
      <c r="D207" s="19" t="str">
        <f>IF($M$9=0,"Withdrawal limit","")</f>
        <v>Withdrawal limit</v>
      </c>
      <c r="E207" s="20"/>
      <c r="F207" s="20">
        <f>IF($M$9=0,50%*MIN(L202,L154),"")</f>
        <v>403931.20744723995</v>
      </c>
      <c r="G207" s="20"/>
      <c r="H207" s="71" t="s">
        <v>69</v>
      </c>
      <c r="I207" s="68"/>
      <c r="J207" s="4" t="s">
        <v>3</v>
      </c>
      <c r="K207" s="32">
        <v>5000</v>
      </c>
      <c r="L207" s="29">
        <f>SUM($K$206:K206)+$L$202+IF(H207="before 5th",K207,0)</f>
        <v>1252946.6357082434</v>
      </c>
      <c r="M207" s="6">
        <f t="shared" ref="M207:M217" si="19">L207*$P$206/12</f>
        <v>9083.8631088847633</v>
      </c>
      <c r="N207" s="83">
        <f t="shared" ref="N207:N217" si="20">IF(O207=MAX($O$206:$O$217),O207,IF(N206=MAX($O$206:$O$217),N206,0))</f>
        <v>0</v>
      </c>
      <c r="O207" s="87"/>
      <c r="P207" s="20" t="s">
        <v>40</v>
      </c>
      <c r="Q207" s="20"/>
      <c r="R207" s="20"/>
      <c r="S207" s="21"/>
    </row>
    <row r="208" spans="4:19" x14ac:dyDescent="0.25">
      <c r="D208" s="19"/>
      <c r="E208" s="20"/>
      <c r="F208" s="20"/>
      <c r="G208" s="20"/>
      <c r="H208" s="71" t="s">
        <v>69</v>
      </c>
      <c r="I208" s="68"/>
      <c r="J208" s="4" t="s">
        <v>4</v>
      </c>
      <c r="K208" s="32">
        <v>5000</v>
      </c>
      <c r="L208" s="29">
        <f>SUM($K$206:K207)+$L$202+IF(H208="before 5th",K208,0)</f>
        <v>1257946.6357082434</v>
      </c>
      <c r="M208" s="6">
        <f t="shared" si="19"/>
        <v>9120.1131088847633</v>
      </c>
      <c r="N208" s="83">
        <f t="shared" si="20"/>
        <v>0</v>
      </c>
      <c r="O208" s="87"/>
      <c r="P208" s="89">
        <v>150000</v>
      </c>
      <c r="Q208" s="20"/>
      <c r="R208" s="20"/>
      <c r="S208" s="21"/>
    </row>
    <row r="209" spans="4:19" x14ac:dyDescent="0.25">
      <c r="D209" s="19"/>
      <c r="E209" s="20"/>
      <c r="F209" s="20"/>
      <c r="G209" s="20"/>
      <c r="H209" s="71" t="s">
        <v>69</v>
      </c>
      <c r="I209" s="68"/>
      <c r="J209" s="4" t="s">
        <v>5</v>
      </c>
      <c r="K209" s="32">
        <v>5000</v>
      </c>
      <c r="L209" s="29">
        <f>SUM($K$206:K208)+$L$202+IF(H209="before 5th",K209,0)</f>
        <v>1262946.6357082434</v>
      </c>
      <c r="M209" s="6">
        <f t="shared" si="19"/>
        <v>9156.3631088847633</v>
      </c>
      <c r="N209" s="83">
        <f t="shared" si="20"/>
        <v>0</v>
      </c>
      <c r="O209" s="87"/>
      <c r="P209" s="41" t="str">
        <f>IF(SUM(K206:K217)&gt;P208,"Warning: total investment exceeds allowed limit","")</f>
        <v/>
      </c>
      <c r="Q209" s="49"/>
      <c r="R209" s="49"/>
      <c r="S209" s="50"/>
    </row>
    <row r="210" spans="4:19" x14ac:dyDescent="0.25">
      <c r="D210" s="19"/>
      <c r="E210" s="20"/>
      <c r="F210" s="20"/>
      <c r="G210" s="20"/>
      <c r="H210" s="71" t="s">
        <v>69</v>
      </c>
      <c r="I210" s="68"/>
      <c r="J210" s="4" t="s">
        <v>6</v>
      </c>
      <c r="K210" s="32">
        <v>5000</v>
      </c>
      <c r="L210" s="29">
        <f>SUM($K$206:K209)+$L$202+IF(H210="before 5th",K210,0)</f>
        <v>1267946.6357082434</v>
      </c>
      <c r="M210" s="6">
        <f t="shared" si="19"/>
        <v>9192.6131088847633</v>
      </c>
      <c r="N210" s="83">
        <f t="shared" si="20"/>
        <v>0</v>
      </c>
      <c r="O210" s="87"/>
      <c r="P210" s="20"/>
      <c r="Q210" s="20"/>
      <c r="R210" s="20"/>
      <c r="S210" s="21"/>
    </row>
    <row r="211" spans="4:19" x14ac:dyDescent="0.25">
      <c r="D211" s="19"/>
      <c r="E211" s="20"/>
      <c r="F211" s="20"/>
      <c r="G211" s="20"/>
      <c r="H211" s="71" t="s">
        <v>69</v>
      </c>
      <c r="I211" s="68"/>
      <c r="J211" s="4" t="s">
        <v>7</v>
      </c>
      <c r="K211" s="32">
        <v>5000</v>
      </c>
      <c r="L211" s="29">
        <f>SUM($K$206:K210)+$L$202+IF(H211="before 5th",K211,0)</f>
        <v>1272946.6357082434</v>
      </c>
      <c r="M211" s="6">
        <f t="shared" si="19"/>
        <v>9228.8631088847633</v>
      </c>
      <c r="N211" s="83">
        <f t="shared" si="20"/>
        <v>0</v>
      </c>
      <c r="O211" s="87"/>
      <c r="P211" s="84" t="str">
        <f>IF(N218&gt;F207,"Withdrawal is above limit","")</f>
        <v/>
      </c>
      <c r="Q211" s="76"/>
      <c r="R211" s="76"/>
      <c r="S211" s="85"/>
    </row>
    <row r="212" spans="4:19" x14ac:dyDescent="0.25">
      <c r="D212" s="19"/>
      <c r="E212" s="20"/>
      <c r="F212" s="20"/>
      <c r="G212" s="20"/>
      <c r="H212" s="71" t="s">
        <v>69</v>
      </c>
      <c r="I212" s="68"/>
      <c r="J212" s="4" t="s">
        <v>8</v>
      </c>
      <c r="K212" s="32">
        <v>5000</v>
      </c>
      <c r="L212" s="29">
        <f>SUM($K$206:K211)+$L$202+IF(H212="before 5th",K212,0)</f>
        <v>1277946.6357082434</v>
      </c>
      <c r="M212" s="6">
        <f t="shared" si="19"/>
        <v>9265.1131088847633</v>
      </c>
      <c r="N212" s="83">
        <f t="shared" si="20"/>
        <v>0</v>
      </c>
      <c r="O212" s="87"/>
      <c r="P212" s="20"/>
      <c r="Q212" s="20"/>
      <c r="R212" s="20"/>
      <c r="S212" s="21"/>
    </row>
    <row r="213" spans="4:19" x14ac:dyDescent="0.25">
      <c r="D213" s="19"/>
      <c r="E213" s="20"/>
      <c r="F213" s="20"/>
      <c r="G213" s="20"/>
      <c r="H213" s="71" t="s">
        <v>69</v>
      </c>
      <c r="I213" s="68"/>
      <c r="J213" s="4" t="s">
        <v>9</v>
      </c>
      <c r="K213" s="32">
        <v>5000</v>
      </c>
      <c r="L213" s="29">
        <f>SUM($K$206:K212)+$L$202+IF(H213="before 5th",K213,0)</f>
        <v>1282946.6357082434</v>
      </c>
      <c r="M213" s="6">
        <f t="shared" si="19"/>
        <v>9301.3631088847633</v>
      </c>
      <c r="N213" s="83">
        <f t="shared" si="20"/>
        <v>0</v>
      </c>
      <c r="O213" s="87"/>
      <c r="P213" s="20"/>
      <c r="Q213" s="20"/>
      <c r="R213" s="20"/>
      <c r="S213" s="21"/>
    </row>
    <row r="214" spans="4:19" x14ac:dyDescent="0.25">
      <c r="D214" s="19"/>
      <c r="E214" s="20"/>
      <c r="F214" s="20"/>
      <c r="G214" s="20"/>
      <c r="H214" s="71" t="s">
        <v>69</v>
      </c>
      <c r="I214" s="68"/>
      <c r="J214" s="4" t="s">
        <v>10</v>
      </c>
      <c r="K214" s="32">
        <v>5000</v>
      </c>
      <c r="L214" s="29">
        <f>SUM($K$206:K213)+$L$202+IF(H214="before 5th",K214,0)</f>
        <v>1287946.6357082434</v>
      </c>
      <c r="M214" s="6">
        <f t="shared" si="19"/>
        <v>9337.6131088847633</v>
      </c>
      <c r="N214" s="83">
        <f t="shared" si="20"/>
        <v>0</v>
      </c>
      <c r="O214" s="87"/>
      <c r="P214" s="20"/>
      <c r="Q214" s="20"/>
      <c r="R214" s="20"/>
      <c r="S214" s="21"/>
    </row>
    <row r="215" spans="4:19" x14ac:dyDescent="0.25">
      <c r="D215" s="19"/>
      <c r="E215" s="20"/>
      <c r="F215" s="20"/>
      <c r="G215" s="20"/>
      <c r="H215" s="71" t="s">
        <v>69</v>
      </c>
      <c r="I215" s="68"/>
      <c r="J215" s="4" t="s">
        <v>11</v>
      </c>
      <c r="K215" s="32">
        <v>5000</v>
      </c>
      <c r="L215" s="29">
        <f>SUM($K$206:K214)+$L$202+IF(H215="before 5th",K215,0)</f>
        <v>1292946.6357082434</v>
      </c>
      <c r="M215" s="6">
        <f t="shared" si="19"/>
        <v>9373.8631088847633</v>
      </c>
      <c r="N215" s="83">
        <f t="shared" si="20"/>
        <v>0</v>
      </c>
      <c r="O215" s="87"/>
      <c r="P215" s="68"/>
      <c r="Q215" s="68"/>
      <c r="R215" s="20"/>
      <c r="S215" s="21"/>
    </row>
    <row r="216" spans="4:19" x14ac:dyDescent="0.25">
      <c r="D216" s="19"/>
      <c r="E216" s="20"/>
      <c r="F216" s="20"/>
      <c r="G216" s="20"/>
      <c r="H216" s="71" t="s">
        <v>69</v>
      </c>
      <c r="I216" s="68"/>
      <c r="J216" s="4" t="s">
        <v>12</v>
      </c>
      <c r="K216" s="32">
        <v>5000</v>
      </c>
      <c r="L216" s="29">
        <f>SUM($K$206:K215)+$L$202+IF(H216="before 5th",K216,0)</f>
        <v>1297946.6357082434</v>
      </c>
      <c r="M216" s="6">
        <f t="shared" si="19"/>
        <v>9410.1131088847633</v>
      </c>
      <c r="N216" s="83">
        <f t="shared" si="20"/>
        <v>0</v>
      </c>
      <c r="O216" s="87"/>
      <c r="P216" s="68"/>
      <c r="Q216" s="68"/>
      <c r="R216" s="20"/>
      <c r="S216" s="21"/>
    </row>
    <row r="217" spans="4:19" x14ac:dyDescent="0.25">
      <c r="D217" s="19"/>
      <c r="E217" s="20"/>
      <c r="F217" s="20"/>
      <c r="G217" s="20"/>
      <c r="H217" s="71" t="s">
        <v>69</v>
      </c>
      <c r="I217" s="68"/>
      <c r="J217" s="4" t="s">
        <v>13</v>
      </c>
      <c r="K217" s="32">
        <v>5000</v>
      </c>
      <c r="L217" s="29">
        <f>SUM($K$206:K216)+$L$202+IF(H217="before 5th",K217,0)</f>
        <v>1302946.6357082434</v>
      </c>
      <c r="M217" s="6">
        <f t="shared" si="19"/>
        <v>9446.3631088847633</v>
      </c>
      <c r="N217" s="83">
        <f t="shared" si="20"/>
        <v>0</v>
      </c>
      <c r="O217" s="87"/>
      <c r="P217" s="68"/>
      <c r="Q217" s="68"/>
      <c r="R217" s="20"/>
      <c r="S217" s="21"/>
    </row>
    <row r="218" spans="4:19" x14ac:dyDescent="0.25">
      <c r="D218" s="19"/>
      <c r="E218" s="20"/>
      <c r="F218" s="20"/>
      <c r="G218" s="20"/>
      <c r="H218" s="20"/>
      <c r="I218" s="68"/>
      <c r="J218" s="7" t="s">
        <v>21</v>
      </c>
      <c r="K218" s="9"/>
      <c r="L218" s="9">
        <f>SUM(K206:K217)+SUM(M206:M217)+L202-N218</f>
        <v>1413910.4930148604</v>
      </c>
      <c r="M218" s="10"/>
      <c r="N218" s="68">
        <f>MAX(O206:O217)</f>
        <v>0</v>
      </c>
      <c r="O218" s="73"/>
      <c r="P218" s="20"/>
      <c r="Q218" s="20"/>
      <c r="R218" s="20"/>
      <c r="S218" s="21"/>
    </row>
    <row r="219" spans="4:19" x14ac:dyDescent="0.25">
      <c r="D219" s="19"/>
      <c r="E219" s="20"/>
      <c r="F219" s="20"/>
      <c r="G219" s="20"/>
      <c r="H219" s="20"/>
      <c r="I219" s="68"/>
      <c r="J219" s="20"/>
      <c r="K219" s="20"/>
      <c r="L219" s="20"/>
      <c r="M219" s="20"/>
      <c r="N219" s="20"/>
      <c r="O219" s="20"/>
      <c r="P219" s="20"/>
      <c r="Q219" s="20"/>
      <c r="R219" s="20"/>
      <c r="S219" s="21"/>
    </row>
    <row r="220" spans="4:19" x14ac:dyDescent="0.25">
      <c r="D220" s="19"/>
      <c r="E220" s="20"/>
      <c r="F220" s="20"/>
      <c r="G220" s="20"/>
      <c r="H220" s="20"/>
      <c r="I220" s="68"/>
      <c r="J220" s="114" t="s">
        <v>30</v>
      </c>
      <c r="K220" s="115"/>
      <c r="L220" s="115"/>
      <c r="M220" s="116"/>
      <c r="N220" s="75"/>
      <c r="O220" s="90" t="s">
        <v>73</v>
      </c>
      <c r="P220" s="20"/>
      <c r="Q220" s="20"/>
      <c r="R220" s="20"/>
      <c r="S220" s="21"/>
    </row>
    <row r="221" spans="4:19" x14ac:dyDescent="0.25">
      <c r="D221" s="19"/>
      <c r="E221" s="20"/>
      <c r="F221" s="20"/>
      <c r="G221" s="20"/>
      <c r="H221" s="70" t="s">
        <v>68</v>
      </c>
      <c r="I221" s="68"/>
      <c r="J221" s="1" t="s">
        <v>1</v>
      </c>
      <c r="K221" s="2" t="s">
        <v>14</v>
      </c>
      <c r="L221" s="2" t="s">
        <v>0</v>
      </c>
      <c r="M221" s="3" t="s">
        <v>15</v>
      </c>
      <c r="N221" s="3"/>
      <c r="O221" s="86" t="s">
        <v>72</v>
      </c>
      <c r="P221" s="20" t="s">
        <v>38</v>
      </c>
      <c r="Q221" s="20"/>
      <c r="R221" s="20"/>
      <c r="S221" s="21"/>
    </row>
    <row r="222" spans="4:19" x14ac:dyDescent="0.25">
      <c r="D222" s="19"/>
      <c r="E222" s="20"/>
      <c r="F222" s="20"/>
      <c r="G222" s="20"/>
      <c r="H222" s="71" t="s">
        <v>69</v>
      </c>
      <c r="I222" s="68"/>
      <c r="J222" s="4" t="s">
        <v>2</v>
      </c>
      <c r="K222" s="32">
        <v>5000</v>
      </c>
      <c r="L222" s="29">
        <f>$L$218+IF(H222="before 5th",K222,0)</f>
        <v>1418910.4930148604</v>
      </c>
      <c r="M222" s="6">
        <f>L222*$P$222/12</f>
        <v>10287.101074357737</v>
      </c>
      <c r="N222" s="83">
        <f>IF(O222=MAX($O$222:$O$233),O222,IF(N221=MAX($O$222:$O$233),N221,0))</f>
        <v>0</v>
      </c>
      <c r="O222" s="87"/>
      <c r="P222" s="88">
        <v>8.6999999999999994E-2</v>
      </c>
      <c r="Q222" s="20"/>
      <c r="R222" s="20"/>
      <c r="S222" s="21"/>
    </row>
    <row r="223" spans="4:19" x14ac:dyDescent="0.25">
      <c r="D223" s="19" t="str">
        <f>IF($M$9=0,"Withdrawal limit","")</f>
        <v>Withdrawal limit</v>
      </c>
      <c r="E223" s="20"/>
      <c r="F223" s="20">
        <f>IF($M$9=0,50%*MIN(L218,L170),"")</f>
        <v>470486.97249514982</v>
      </c>
      <c r="G223" s="20"/>
      <c r="H223" s="71" t="s">
        <v>69</v>
      </c>
      <c r="I223" s="68"/>
      <c r="J223" s="4" t="s">
        <v>3</v>
      </c>
      <c r="K223" s="32">
        <v>5000</v>
      </c>
      <c r="L223" s="29">
        <f>SUM($K$222:K222)+$L$218+IF(H223="before 5th",K223,0)</f>
        <v>1423910.4930148604</v>
      </c>
      <c r="M223" s="6">
        <f t="shared" ref="M223:M233" si="21">L223*$P$222/12</f>
        <v>10323.351074357737</v>
      </c>
      <c r="N223" s="83">
        <f t="shared" ref="N223:N233" si="22">IF(O223=MAX($O$222:$O$233),O223,IF(N222=MAX($O$222:$O$233),N222,0))</f>
        <v>0</v>
      </c>
      <c r="O223" s="87"/>
      <c r="P223" s="20" t="s">
        <v>40</v>
      </c>
      <c r="Q223" s="20"/>
      <c r="R223" s="20"/>
      <c r="S223" s="21"/>
    </row>
    <row r="224" spans="4:19" x14ac:dyDescent="0.25">
      <c r="D224" s="19"/>
      <c r="E224" s="20"/>
      <c r="F224" s="20"/>
      <c r="G224" s="20"/>
      <c r="H224" s="71" t="s">
        <v>69</v>
      </c>
      <c r="I224" s="68"/>
      <c r="J224" s="4" t="s">
        <v>4</v>
      </c>
      <c r="K224" s="32">
        <v>5000</v>
      </c>
      <c r="L224" s="29">
        <f>SUM($K$222:K223)+$L$218+IF(H224="before 5th",K224,0)</f>
        <v>1428910.4930148604</v>
      </c>
      <c r="M224" s="6">
        <f t="shared" si="21"/>
        <v>10359.601074357737</v>
      </c>
      <c r="N224" s="83">
        <f t="shared" si="22"/>
        <v>0</v>
      </c>
      <c r="O224" s="87"/>
      <c r="P224" s="89">
        <v>150000</v>
      </c>
      <c r="Q224" s="20"/>
      <c r="R224" s="20"/>
      <c r="S224" s="21"/>
    </row>
    <row r="225" spans="4:19" x14ac:dyDescent="0.25">
      <c r="D225" s="19"/>
      <c r="E225" s="20"/>
      <c r="F225" s="20"/>
      <c r="G225" s="20"/>
      <c r="H225" s="71" t="s">
        <v>69</v>
      </c>
      <c r="I225" s="68"/>
      <c r="J225" s="4" t="s">
        <v>5</v>
      </c>
      <c r="K225" s="32">
        <v>5000</v>
      </c>
      <c r="L225" s="29">
        <f>SUM($K$222:K224)+$L$218+IF(H225="before 5th",K225,0)</f>
        <v>1433910.4930148604</v>
      </c>
      <c r="M225" s="6">
        <f t="shared" si="21"/>
        <v>10395.851074357737</v>
      </c>
      <c r="N225" s="83">
        <f t="shared" si="22"/>
        <v>0</v>
      </c>
      <c r="O225" s="87"/>
      <c r="P225" s="41" t="str">
        <f>IF(SUM(K222:K233)&gt;P224,"Warning: total investment exceeds allowed limit","")</f>
        <v/>
      </c>
      <c r="Q225" s="49"/>
      <c r="R225" s="49"/>
      <c r="S225" s="50"/>
    </row>
    <row r="226" spans="4:19" x14ac:dyDescent="0.25">
      <c r="D226" s="19"/>
      <c r="E226" s="20"/>
      <c r="F226" s="20"/>
      <c r="G226" s="20"/>
      <c r="H226" s="71" t="s">
        <v>69</v>
      </c>
      <c r="I226" s="68"/>
      <c r="J226" s="4" t="s">
        <v>6</v>
      </c>
      <c r="K226" s="32">
        <v>5000</v>
      </c>
      <c r="L226" s="29">
        <f>SUM($K$222:K225)+$L$218+IF(H226="before 5th",K226,0)</f>
        <v>1438910.4930148604</v>
      </c>
      <c r="M226" s="6">
        <f t="shared" si="21"/>
        <v>10432.101074357737</v>
      </c>
      <c r="N226" s="83">
        <f t="shared" si="22"/>
        <v>0</v>
      </c>
      <c r="O226" s="87"/>
      <c r="P226" s="20"/>
      <c r="Q226" s="20"/>
      <c r="R226" s="20"/>
      <c r="S226" s="21"/>
    </row>
    <row r="227" spans="4:19" x14ac:dyDescent="0.25">
      <c r="D227" s="19"/>
      <c r="E227" s="20"/>
      <c r="F227" s="20"/>
      <c r="G227" s="20"/>
      <c r="H227" s="71" t="s">
        <v>69</v>
      </c>
      <c r="I227" s="68"/>
      <c r="J227" s="4" t="s">
        <v>7</v>
      </c>
      <c r="K227" s="32">
        <v>5000</v>
      </c>
      <c r="L227" s="29">
        <f>SUM($K$222:K226)+$L$218+IF(H227="before 5th",K227,0)</f>
        <v>1443910.4930148604</v>
      </c>
      <c r="M227" s="6">
        <f t="shared" si="21"/>
        <v>10468.351074357737</v>
      </c>
      <c r="N227" s="83">
        <f t="shared" si="22"/>
        <v>0</v>
      </c>
      <c r="O227" s="87"/>
      <c r="P227" s="84" t="str">
        <f>IF(N234&gt;F223,"Withdrawal is above limit","")</f>
        <v/>
      </c>
      <c r="Q227" s="76"/>
      <c r="R227" s="76"/>
      <c r="S227" s="85"/>
    </row>
    <row r="228" spans="4:19" x14ac:dyDescent="0.25">
      <c r="D228" s="19"/>
      <c r="E228" s="20"/>
      <c r="F228" s="20"/>
      <c r="G228" s="20"/>
      <c r="H228" s="71" t="s">
        <v>69</v>
      </c>
      <c r="I228" s="68"/>
      <c r="J228" s="4" t="s">
        <v>8</v>
      </c>
      <c r="K228" s="32">
        <v>5000</v>
      </c>
      <c r="L228" s="29">
        <f>SUM($K$222:K227)+$L$218+IF(H228="before 5th",K228,0)</f>
        <v>1448910.4930148604</v>
      </c>
      <c r="M228" s="6">
        <f t="shared" si="21"/>
        <v>10504.601074357737</v>
      </c>
      <c r="N228" s="83">
        <f t="shared" si="22"/>
        <v>0</v>
      </c>
      <c r="O228" s="87"/>
      <c r="P228" s="20"/>
      <c r="Q228" s="20"/>
      <c r="R228" s="20"/>
      <c r="S228" s="21"/>
    </row>
    <row r="229" spans="4:19" x14ac:dyDescent="0.25">
      <c r="D229" s="19"/>
      <c r="E229" s="20"/>
      <c r="F229" s="20"/>
      <c r="G229" s="20"/>
      <c r="H229" s="71" t="s">
        <v>69</v>
      </c>
      <c r="I229" s="68"/>
      <c r="J229" s="4" t="s">
        <v>9</v>
      </c>
      <c r="K229" s="32">
        <v>5000</v>
      </c>
      <c r="L229" s="29">
        <f>SUM($K$222:K228)+$L$218+IF(H229="before 5th",K229,0)</f>
        <v>1453910.4930148604</v>
      </c>
      <c r="M229" s="6">
        <f t="shared" si="21"/>
        <v>10540.851074357737</v>
      </c>
      <c r="N229" s="83">
        <f t="shared" si="22"/>
        <v>0</v>
      </c>
      <c r="O229" s="87"/>
      <c r="P229" s="20"/>
      <c r="Q229" s="20"/>
      <c r="R229" s="20"/>
      <c r="S229" s="21"/>
    </row>
    <row r="230" spans="4:19" x14ac:dyDescent="0.25">
      <c r="D230" s="19"/>
      <c r="E230" s="20"/>
      <c r="F230" s="20"/>
      <c r="G230" s="20"/>
      <c r="H230" s="71" t="s">
        <v>69</v>
      </c>
      <c r="I230" s="68"/>
      <c r="J230" s="4" t="s">
        <v>10</v>
      </c>
      <c r="K230" s="32">
        <v>5000</v>
      </c>
      <c r="L230" s="29">
        <f>SUM($K$222:K229)+$L$218+IF(H230="before 5th",K230,0)</f>
        <v>1458910.4930148604</v>
      </c>
      <c r="M230" s="6">
        <f t="shared" si="21"/>
        <v>10577.101074357737</v>
      </c>
      <c r="N230" s="83">
        <f t="shared" si="22"/>
        <v>0</v>
      </c>
      <c r="O230" s="87"/>
      <c r="P230" s="20"/>
      <c r="Q230" s="20"/>
      <c r="R230" s="20"/>
      <c r="S230" s="21"/>
    </row>
    <row r="231" spans="4:19" x14ac:dyDescent="0.25">
      <c r="D231" s="19"/>
      <c r="E231" s="20"/>
      <c r="F231" s="20"/>
      <c r="G231" s="20"/>
      <c r="H231" s="71" t="s">
        <v>69</v>
      </c>
      <c r="I231" s="68"/>
      <c r="J231" s="4" t="s">
        <v>11</v>
      </c>
      <c r="K231" s="32">
        <v>5000</v>
      </c>
      <c r="L231" s="29">
        <f>SUM($K$222:K230)+$L$218+IF(H231="before 5th",K231,0)</f>
        <v>1463910.4930148604</v>
      </c>
      <c r="M231" s="6">
        <f t="shared" si="21"/>
        <v>10613.351074357737</v>
      </c>
      <c r="N231" s="83">
        <f t="shared" si="22"/>
        <v>0</v>
      </c>
      <c r="O231" s="87"/>
      <c r="P231" s="68"/>
      <c r="Q231" s="68"/>
      <c r="R231" s="20"/>
      <c r="S231" s="21"/>
    </row>
    <row r="232" spans="4:19" x14ac:dyDescent="0.25">
      <c r="D232" s="19"/>
      <c r="E232" s="20"/>
      <c r="F232" s="20"/>
      <c r="G232" s="20"/>
      <c r="H232" s="71" t="s">
        <v>69</v>
      </c>
      <c r="I232" s="68"/>
      <c r="J232" s="4" t="s">
        <v>12</v>
      </c>
      <c r="K232" s="32">
        <v>5000</v>
      </c>
      <c r="L232" s="29">
        <f>SUM($K$222:K231)+$L$218+IF(H232="before 5th",K232,0)</f>
        <v>1468910.4930148604</v>
      </c>
      <c r="M232" s="6">
        <f t="shared" si="21"/>
        <v>10649.601074357737</v>
      </c>
      <c r="N232" s="83">
        <f t="shared" si="22"/>
        <v>0</v>
      </c>
      <c r="O232" s="87"/>
      <c r="P232" s="68"/>
      <c r="Q232" s="68"/>
      <c r="R232" s="20"/>
      <c r="S232" s="21"/>
    </row>
    <row r="233" spans="4:19" x14ac:dyDescent="0.25">
      <c r="D233" s="19"/>
      <c r="E233" s="20"/>
      <c r="F233" s="20"/>
      <c r="G233" s="20"/>
      <c r="H233" s="71" t="s">
        <v>69</v>
      </c>
      <c r="I233" s="68"/>
      <c r="J233" s="4" t="s">
        <v>13</v>
      </c>
      <c r="K233" s="32">
        <v>5000</v>
      </c>
      <c r="L233" s="29">
        <f>SUM($K$222:K232)+$L$218+IF(H233="before 5th",K233,0)</f>
        <v>1473910.4930148604</v>
      </c>
      <c r="M233" s="6">
        <f t="shared" si="21"/>
        <v>10685.851074357737</v>
      </c>
      <c r="N233" s="83">
        <f t="shared" si="22"/>
        <v>0</v>
      </c>
      <c r="O233" s="87"/>
      <c r="P233" s="68"/>
      <c r="Q233" s="68"/>
      <c r="R233" s="20"/>
      <c r="S233" s="21"/>
    </row>
    <row r="234" spans="4:19" x14ac:dyDescent="0.25">
      <c r="D234" s="19"/>
      <c r="E234" s="20"/>
      <c r="F234" s="20"/>
      <c r="G234" s="20"/>
      <c r="H234" s="20"/>
      <c r="I234" s="68"/>
      <c r="J234" s="7" t="s">
        <v>21</v>
      </c>
      <c r="K234" s="9"/>
      <c r="L234" s="9">
        <f>SUM(K222:K233)+SUM(M222:M233)+L218-N234</f>
        <v>1599748.2059071532</v>
      </c>
      <c r="M234" s="10"/>
      <c r="N234" s="68">
        <f>MAX(O222:O233)</f>
        <v>0</v>
      </c>
      <c r="O234" s="73"/>
      <c r="P234" s="20"/>
      <c r="Q234" s="20"/>
      <c r="R234" s="20"/>
      <c r="S234" s="21"/>
    </row>
    <row r="235" spans="4:19" x14ac:dyDescent="0.25">
      <c r="D235" s="19"/>
      <c r="E235" s="20"/>
      <c r="F235" s="20"/>
      <c r="G235" s="20"/>
      <c r="H235" s="20"/>
      <c r="I235" s="68"/>
      <c r="J235" s="20"/>
      <c r="K235" s="20"/>
      <c r="L235" s="20"/>
      <c r="M235" s="20"/>
      <c r="N235" s="20"/>
      <c r="O235" s="20"/>
      <c r="P235" s="20"/>
      <c r="Q235" s="20"/>
      <c r="R235" s="20"/>
      <c r="S235" s="21"/>
    </row>
    <row r="236" spans="4:19" x14ac:dyDescent="0.25">
      <c r="D236" s="19"/>
      <c r="E236" s="20"/>
      <c r="F236" s="20"/>
      <c r="G236" s="20"/>
      <c r="H236" s="20"/>
      <c r="I236" s="68"/>
      <c r="J236" s="114" t="s">
        <v>31</v>
      </c>
      <c r="K236" s="115"/>
      <c r="L236" s="115"/>
      <c r="M236" s="116"/>
      <c r="N236" s="75"/>
      <c r="O236" s="90" t="s">
        <v>73</v>
      </c>
      <c r="P236" s="20"/>
      <c r="Q236" s="20"/>
      <c r="R236" s="20"/>
      <c r="S236" s="21"/>
    </row>
    <row r="237" spans="4:19" x14ac:dyDescent="0.25">
      <c r="D237" s="19"/>
      <c r="E237" s="20"/>
      <c r="F237" s="20"/>
      <c r="G237" s="20"/>
      <c r="H237" s="70" t="s">
        <v>68</v>
      </c>
      <c r="I237" s="68"/>
      <c r="J237" s="1" t="s">
        <v>1</v>
      </c>
      <c r="K237" s="2" t="s">
        <v>14</v>
      </c>
      <c r="L237" s="2" t="s">
        <v>0</v>
      </c>
      <c r="M237" s="3" t="s">
        <v>15</v>
      </c>
      <c r="N237" s="3"/>
      <c r="O237" s="86" t="s">
        <v>72</v>
      </c>
      <c r="P237" s="20" t="s">
        <v>38</v>
      </c>
      <c r="Q237" s="20"/>
      <c r="R237" s="20"/>
      <c r="S237" s="21"/>
    </row>
    <row r="238" spans="4:19" x14ac:dyDescent="0.25">
      <c r="D238" s="19"/>
      <c r="E238" s="20"/>
      <c r="F238" s="20"/>
      <c r="G238" s="20"/>
      <c r="H238" s="71" t="s">
        <v>69</v>
      </c>
      <c r="I238" s="68"/>
      <c r="J238" s="4" t="s">
        <v>2</v>
      </c>
      <c r="K238" s="32">
        <v>5000</v>
      </c>
      <c r="L238" s="29">
        <f>$L$234+IF(H238="before 5th",K238,0)</f>
        <v>1604748.2059071532</v>
      </c>
      <c r="M238" s="6">
        <f>L238*$P$238/12</f>
        <v>11634.42449282686</v>
      </c>
      <c r="N238" s="83">
        <f>IF(O238=MAX($O$238:$O$249),O238,IF(N237=MAX($O$238:$O$249),N237,0))</f>
        <v>0</v>
      </c>
      <c r="O238" s="87"/>
      <c r="P238" s="74">
        <v>8.6999999999999994E-2</v>
      </c>
      <c r="Q238" s="20"/>
      <c r="R238" s="20"/>
      <c r="S238" s="21"/>
    </row>
    <row r="239" spans="4:19" x14ac:dyDescent="0.25">
      <c r="D239" s="19" t="str">
        <f>IF($M$9=0,"Withdrawal limit","")</f>
        <v>Withdrawal limit</v>
      </c>
      <c r="E239" s="20"/>
      <c r="F239" s="20">
        <f>IF($M$9=0,50%*MIN(L234,L186),"")</f>
        <v>542833.08910222782</v>
      </c>
      <c r="G239" s="20"/>
      <c r="H239" s="71" t="s">
        <v>69</v>
      </c>
      <c r="I239" s="68"/>
      <c r="J239" s="4" t="s">
        <v>3</v>
      </c>
      <c r="K239" s="32">
        <v>5000</v>
      </c>
      <c r="L239" s="29">
        <f>SUM($K$238:K238)+$L$234+IF(H239="before 5th",K239,0)</f>
        <v>1609748.2059071532</v>
      </c>
      <c r="M239" s="6">
        <f t="shared" ref="M239:M249" si="23">L239*$P$238/12</f>
        <v>11670.67449282686</v>
      </c>
      <c r="N239" s="83">
        <f t="shared" ref="N239:N249" si="24">IF(O239=MAX($O$238:$O$249),O239,IF(N238=MAX($O$238:$O$249),N238,0))</f>
        <v>0</v>
      </c>
      <c r="O239" s="87"/>
      <c r="P239" s="20" t="s">
        <v>40</v>
      </c>
      <c r="Q239" s="20"/>
      <c r="R239" s="20"/>
      <c r="S239" s="21"/>
    </row>
    <row r="240" spans="4:19" x14ac:dyDescent="0.25">
      <c r="D240" s="19"/>
      <c r="E240" s="20"/>
      <c r="F240" s="20"/>
      <c r="G240" s="20"/>
      <c r="H240" s="71" t="s">
        <v>69</v>
      </c>
      <c r="I240" s="68"/>
      <c r="J240" s="4" t="s">
        <v>4</v>
      </c>
      <c r="K240" s="32">
        <v>5000</v>
      </c>
      <c r="L240" s="29">
        <f>SUM($K$238:K239)+$L$234+IF(H240="before 5th",K240,0)</f>
        <v>1614748.2059071532</v>
      </c>
      <c r="M240" s="6">
        <f t="shared" si="23"/>
        <v>11706.92449282686</v>
      </c>
      <c r="N240" s="83">
        <f t="shared" si="24"/>
        <v>0</v>
      </c>
      <c r="O240" s="87"/>
      <c r="P240" s="54">
        <v>150000</v>
      </c>
      <c r="Q240" s="20"/>
      <c r="R240" s="20"/>
      <c r="S240" s="21"/>
    </row>
    <row r="241" spans="4:20" x14ac:dyDescent="0.25">
      <c r="D241" s="19"/>
      <c r="E241" s="20"/>
      <c r="F241" s="20"/>
      <c r="G241" s="20"/>
      <c r="H241" s="71" t="s">
        <v>69</v>
      </c>
      <c r="I241" s="68"/>
      <c r="J241" s="4" t="s">
        <v>5</v>
      </c>
      <c r="K241" s="32">
        <v>5000</v>
      </c>
      <c r="L241" s="29">
        <f>SUM($K$238:K240)+$L$234+IF(H241="before 5th",K241,0)</f>
        <v>1619748.2059071532</v>
      </c>
      <c r="M241" s="6">
        <f t="shared" si="23"/>
        <v>11743.17449282686</v>
      </c>
      <c r="N241" s="83">
        <f t="shared" si="24"/>
        <v>0</v>
      </c>
      <c r="O241" s="87"/>
      <c r="P241" s="41" t="str">
        <f>IF(SUM(K238:K249)&gt;P240,"Warning: total investment exceeds allowed limit","")</f>
        <v/>
      </c>
      <c r="Q241" s="49"/>
      <c r="R241" s="49"/>
      <c r="S241" s="50"/>
    </row>
    <row r="242" spans="4:20" x14ac:dyDescent="0.25">
      <c r="D242" s="19"/>
      <c r="E242" s="20"/>
      <c r="F242" s="20"/>
      <c r="G242" s="20"/>
      <c r="H242" s="71" t="s">
        <v>69</v>
      </c>
      <c r="I242" s="68"/>
      <c r="J242" s="4" t="s">
        <v>6</v>
      </c>
      <c r="K242" s="32">
        <v>5000</v>
      </c>
      <c r="L242" s="29">
        <f>SUM($K$238:K241)+$L$234+IF(H242="before 5th",K242,0)</f>
        <v>1624748.2059071532</v>
      </c>
      <c r="M242" s="6">
        <f t="shared" si="23"/>
        <v>11779.42449282686</v>
      </c>
      <c r="N242" s="83">
        <f t="shared" si="24"/>
        <v>0</v>
      </c>
      <c r="O242" s="87"/>
      <c r="P242" s="20"/>
      <c r="Q242" s="20"/>
      <c r="R242" s="20"/>
      <c r="S242" s="21"/>
    </row>
    <row r="243" spans="4:20" x14ac:dyDescent="0.25">
      <c r="D243" s="19"/>
      <c r="E243" s="20"/>
      <c r="F243" s="20"/>
      <c r="G243" s="20"/>
      <c r="H243" s="71" t="s">
        <v>69</v>
      </c>
      <c r="I243" s="68"/>
      <c r="J243" s="4" t="s">
        <v>7</v>
      </c>
      <c r="K243" s="32">
        <v>5000</v>
      </c>
      <c r="L243" s="29">
        <f>SUM($K$238:K242)+$L$234+IF(H243="before 5th",K243,0)</f>
        <v>1629748.2059071532</v>
      </c>
      <c r="M243" s="6">
        <f t="shared" si="23"/>
        <v>11815.67449282686</v>
      </c>
      <c r="N243" s="83">
        <f t="shared" si="24"/>
        <v>0</v>
      </c>
      <c r="O243" s="87"/>
      <c r="P243" s="84" t="str">
        <f>IF(N250&gt;F239,"Withdrawal is above limit","")</f>
        <v/>
      </c>
      <c r="Q243" s="76"/>
      <c r="R243" s="76"/>
      <c r="S243" s="85"/>
    </row>
    <row r="244" spans="4:20" x14ac:dyDescent="0.25">
      <c r="D244" s="19"/>
      <c r="E244" s="20"/>
      <c r="F244" s="20"/>
      <c r="G244" s="20"/>
      <c r="H244" s="71" t="s">
        <v>69</v>
      </c>
      <c r="I244" s="68"/>
      <c r="J244" s="4" t="s">
        <v>8</v>
      </c>
      <c r="K244" s="32">
        <v>5000</v>
      </c>
      <c r="L244" s="29">
        <f>SUM($K$238:K243)+$L$234+IF(H244="before 5th",K244,0)</f>
        <v>1634748.2059071532</v>
      </c>
      <c r="M244" s="6">
        <f t="shared" si="23"/>
        <v>11851.92449282686</v>
      </c>
      <c r="N244" s="83">
        <f t="shared" si="24"/>
        <v>0</v>
      </c>
      <c r="O244" s="87"/>
      <c r="P244" s="20"/>
      <c r="Q244" s="20"/>
      <c r="R244" s="20"/>
      <c r="S244" s="21"/>
    </row>
    <row r="245" spans="4:20" x14ac:dyDescent="0.25">
      <c r="D245" s="77"/>
      <c r="E245" s="20"/>
      <c r="F245" s="20"/>
      <c r="G245" s="20"/>
      <c r="H245" s="71" t="s">
        <v>69</v>
      </c>
      <c r="I245" s="68"/>
      <c r="J245" s="4" t="s">
        <v>9</v>
      </c>
      <c r="K245" s="32">
        <v>5000</v>
      </c>
      <c r="L245" s="29">
        <f>SUM($K$238:K244)+$L$234+IF(H245="before 5th",K245,0)</f>
        <v>1639748.2059071532</v>
      </c>
      <c r="M245" s="6">
        <f t="shared" si="23"/>
        <v>11888.17449282686</v>
      </c>
      <c r="N245" s="83">
        <f t="shared" si="24"/>
        <v>0</v>
      </c>
      <c r="O245" s="87"/>
      <c r="P245" s="20"/>
      <c r="Q245" s="20"/>
      <c r="R245" s="20"/>
      <c r="S245" s="21"/>
    </row>
    <row r="246" spans="4:20" x14ac:dyDescent="0.25">
      <c r="D246" s="19"/>
      <c r="E246" s="20"/>
      <c r="F246" s="20"/>
      <c r="G246" s="20"/>
      <c r="H246" s="71" t="s">
        <v>69</v>
      </c>
      <c r="I246" s="68"/>
      <c r="J246" s="4" t="s">
        <v>10</v>
      </c>
      <c r="K246" s="32">
        <v>5000</v>
      </c>
      <c r="L246" s="29">
        <f>SUM($K$238:K245)+$L$234+IF(H246="before 5th",K246,0)</f>
        <v>1644748.2059071532</v>
      </c>
      <c r="M246" s="6">
        <f t="shared" si="23"/>
        <v>11924.42449282686</v>
      </c>
      <c r="N246" s="83">
        <f t="shared" si="24"/>
        <v>0</v>
      </c>
      <c r="O246" s="87"/>
      <c r="P246" s="20"/>
      <c r="Q246" s="20"/>
      <c r="R246" s="20"/>
      <c r="S246" s="21"/>
    </row>
    <row r="247" spans="4:20" x14ac:dyDescent="0.25">
      <c r="D247" s="19"/>
      <c r="E247" s="20"/>
      <c r="F247" s="20"/>
      <c r="G247" s="20"/>
      <c r="H247" s="71" t="s">
        <v>69</v>
      </c>
      <c r="I247" s="68"/>
      <c r="J247" s="4" t="s">
        <v>11</v>
      </c>
      <c r="K247" s="32">
        <v>5000</v>
      </c>
      <c r="L247" s="29">
        <f>SUM($K$238:K246)+$L$234+IF(H247="before 5th",K247,0)</f>
        <v>1649748.2059071532</v>
      </c>
      <c r="M247" s="6">
        <f t="shared" si="23"/>
        <v>11960.67449282686</v>
      </c>
      <c r="N247" s="83">
        <f t="shared" si="24"/>
        <v>0</v>
      </c>
      <c r="O247" s="87"/>
      <c r="P247" s="68"/>
      <c r="Q247" s="68"/>
      <c r="R247" s="20"/>
      <c r="S247" s="21"/>
    </row>
    <row r="248" spans="4:20" x14ac:dyDescent="0.25">
      <c r="D248" s="19"/>
      <c r="E248" s="20"/>
      <c r="F248" s="20"/>
      <c r="G248" s="20"/>
      <c r="H248" s="71" t="s">
        <v>69</v>
      </c>
      <c r="I248" s="68"/>
      <c r="J248" s="4" t="s">
        <v>12</v>
      </c>
      <c r="K248" s="32">
        <v>5000</v>
      </c>
      <c r="L248" s="29">
        <f>SUM($K$238:K247)+$L$234+IF(H248="before 5th",K248,0)</f>
        <v>1654748.2059071532</v>
      </c>
      <c r="M248" s="6">
        <f t="shared" si="23"/>
        <v>11996.92449282686</v>
      </c>
      <c r="N248" s="83">
        <f t="shared" si="24"/>
        <v>0</v>
      </c>
      <c r="O248" s="87"/>
      <c r="P248" s="68"/>
      <c r="Q248" s="68"/>
      <c r="R248" s="20"/>
      <c r="S248" s="21"/>
    </row>
    <row r="249" spans="4:20" x14ac:dyDescent="0.25">
      <c r="D249" s="19"/>
      <c r="E249" s="20"/>
      <c r="F249" s="20"/>
      <c r="G249" s="20"/>
      <c r="H249" s="71" t="s">
        <v>69</v>
      </c>
      <c r="I249" s="68"/>
      <c r="J249" s="4" t="s">
        <v>13</v>
      </c>
      <c r="K249" s="32">
        <v>5000</v>
      </c>
      <c r="L249" s="29">
        <f>SUM($K$238:K248)+$L$234+IF(H249="before 5th",K249,0)</f>
        <v>1659748.2059071532</v>
      </c>
      <c r="M249" s="6">
        <f t="shared" si="23"/>
        <v>12033.17449282686</v>
      </c>
      <c r="N249" s="83">
        <f t="shared" si="24"/>
        <v>0</v>
      </c>
      <c r="O249" s="87"/>
      <c r="P249" s="68"/>
      <c r="Q249" s="68"/>
      <c r="R249" s="20"/>
      <c r="S249" s="21"/>
    </row>
    <row r="250" spans="4:20" x14ac:dyDescent="0.25">
      <c r="D250" s="77"/>
      <c r="E250" s="20"/>
      <c r="F250" s="20"/>
      <c r="G250" s="20"/>
      <c r="H250" s="20"/>
      <c r="I250" s="68"/>
      <c r="J250" s="7" t="s">
        <v>21</v>
      </c>
      <c r="K250" s="9"/>
      <c r="L250" s="9">
        <f>SUM(K238:K249)+SUM(M238:M249)+L234-N250</f>
        <v>1801753.7998210755</v>
      </c>
      <c r="M250" s="10"/>
      <c r="N250" s="68">
        <f>MAX(O238:O249)</f>
        <v>0</v>
      </c>
      <c r="O250" s="73"/>
      <c r="P250" s="20"/>
      <c r="Q250" s="20"/>
      <c r="R250" s="20"/>
      <c r="S250" s="21"/>
    </row>
    <row r="251" spans="4:20" x14ac:dyDescent="0.25">
      <c r="D251" s="19"/>
      <c r="E251" s="20"/>
      <c r="F251" s="20"/>
      <c r="G251" s="20"/>
      <c r="H251" s="20"/>
      <c r="I251" s="68"/>
      <c r="J251" s="20"/>
      <c r="K251" s="20"/>
      <c r="L251" s="20"/>
      <c r="M251" s="20"/>
      <c r="N251" s="20"/>
      <c r="O251" s="20"/>
      <c r="P251" s="20"/>
      <c r="Q251" s="20"/>
      <c r="R251" s="20"/>
      <c r="S251" s="21"/>
    </row>
    <row r="252" spans="4:20" ht="16.5" thickBot="1" x14ac:dyDescent="0.3">
      <c r="D252" s="78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80"/>
      <c r="T252" s="49"/>
    </row>
    <row r="253" spans="4:20" x14ac:dyDescent="0.25">
      <c r="D253" s="49"/>
      <c r="E253" s="49"/>
      <c r="F253" s="49"/>
      <c r="G253" s="49"/>
      <c r="H253" s="49"/>
      <c r="I253" s="76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</row>
  </sheetData>
  <mergeCells count="18">
    <mergeCell ref="J204:M204"/>
    <mergeCell ref="J220:M220"/>
    <mergeCell ref="J236:M236"/>
    <mergeCell ref="J108:M108"/>
    <mergeCell ref="J124:M124"/>
    <mergeCell ref="J140:M140"/>
    <mergeCell ref="J156:M156"/>
    <mergeCell ref="J172:M172"/>
    <mergeCell ref="J188:M188"/>
    <mergeCell ref="J92:M92"/>
    <mergeCell ref="D2:S3"/>
    <mergeCell ref="E8:F8"/>
    <mergeCell ref="Q8:R8"/>
    <mergeCell ref="J12:M12"/>
    <mergeCell ref="J28:M28"/>
    <mergeCell ref="J44:M44"/>
    <mergeCell ref="J60:M60"/>
    <mergeCell ref="J76:M76"/>
  </mergeCells>
  <phoneticPr fontId="0" type="noConversion"/>
  <dataValidations disablePrompts="1" count="1">
    <dataValidation type="list" allowBlank="1" showInputMessage="1" showErrorMessage="1" sqref="H14:I14 H222:H233 H15:H25 H30:H41 H46:H57 H62:H73 H78:H89 H94:H105 H110:H121 H126:H137 H142:H153 H158:H169 H174:H185 H190:H201 H206:H217 H238:H249" xr:uid="{00000000-0002-0000-0200-000000000000}">
      <formula1>$AD$1:$AD$2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D1:AD253"/>
  <sheetViews>
    <sheetView showGridLines="0" tabSelected="1" topLeftCell="C1" zoomScale="80" zoomScaleNormal="80" workbookViewId="0">
      <selection activeCell="E19" sqref="E19"/>
    </sheetView>
  </sheetViews>
  <sheetFormatPr defaultRowHeight="15.75" x14ac:dyDescent="0.25"/>
  <cols>
    <col min="1" max="4" width="4.625" style="25" customWidth="1"/>
    <col min="5" max="5" width="18.875" style="25" bestFit="1" customWidth="1"/>
    <col min="6" max="6" width="10.375" style="25" bestFit="1" customWidth="1"/>
    <col min="7" max="7" width="10.375" style="25" customWidth="1"/>
    <col min="8" max="8" width="9.75" style="25" bestFit="1" customWidth="1"/>
    <col min="9" max="9" width="1.875" style="64" customWidth="1"/>
    <col min="10" max="10" width="9" style="25"/>
    <col min="11" max="11" width="9.375" style="25" bestFit="1" customWidth="1"/>
    <col min="12" max="12" width="11.875" style="25" bestFit="1" customWidth="1"/>
    <col min="13" max="13" width="9.375" style="25" bestFit="1" customWidth="1"/>
    <col min="14" max="14" width="9.375" style="25" hidden="1" customWidth="1"/>
    <col min="15" max="15" width="11.625" style="25" bestFit="1" customWidth="1"/>
    <col min="16" max="16" width="9" style="25"/>
    <col min="17" max="17" width="16.125" style="25" bestFit="1" customWidth="1"/>
    <col min="18" max="18" width="13.875" style="25" customWidth="1"/>
    <col min="19" max="23" width="4.625" style="25" customWidth="1"/>
    <col min="24" max="16384" width="9" style="25"/>
  </cols>
  <sheetData>
    <row r="1" spans="4:30" ht="16.5" customHeight="1" thickBot="1" x14ac:dyDescent="0.3">
      <c r="E1" s="49"/>
      <c r="I1" s="25"/>
      <c r="AD1" s="25" t="s">
        <v>69</v>
      </c>
    </row>
    <row r="2" spans="4:30" ht="16.5" customHeight="1" x14ac:dyDescent="0.25">
      <c r="D2" s="101" t="s">
        <v>71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3"/>
      <c r="AD2" s="25" t="s">
        <v>70</v>
      </c>
    </row>
    <row r="3" spans="4:30" ht="16.5" customHeight="1" thickBot="1" x14ac:dyDescent="0.3">
      <c r="D3" s="104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6"/>
    </row>
    <row r="4" spans="4:30" ht="16.5" customHeight="1" x14ac:dyDescent="0.25">
      <c r="D4" s="16"/>
      <c r="E4" s="17"/>
      <c r="F4" s="17"/>
      <c r="G4" s="17"/>
      <c r="H4" s="17"/>
      <c r="I4" s="67"/>
      <c r="J4" s="56" t="s">
        <v>62</v>
      </c>
      <c r="K4" s="17"/>
      <c r="L4" s="17"/>
      <c r="M4" s="17"/>
      <c r="N4" s="17"/>
      <c r="O4" s="17"/>
      <c r="P4" s="17"/>
      <c r="Q4" s="17"/>
      <c r="R4" s="17"/>
      <c r="S4" s="18"/>
    </row>
    <row r="5" spans="4:30" ht="16.5" customHeight="1" x14ac:dyDescent="0.25">
      <c r="D5" s="16"/>
      <c r="E5" s="57" t="s">
        <v>49</v>
      </c>
      <c r="F5" s="17"/>
      <c r="G5" s="17"/>
      <c r="H5" s="17"/>
      <c r="I5" s="67"/>
      <c r="J5" s="66" t="s">
        <v>63</v>
      </c>
      <c r="K5" s="17"/>
      <c r="L5" s="17"/>
      <c r="M5" s="17"/>
      <c r="N5" s="17"/>
      <c r="O5" s="17"/>
      <c r="P5" s="17"/>
      <c r="Q5" s="17"/>
      <c r="R5" s="17"/>
      <c r="S5" s="18"/>
    </row>
    <row r="6" spans="4:30" ht="16.5" customHeight="1" x14ac:dyDescent="0.25">
      <c r="D6" s="16"/>
      <c r="E6" s="17"/>
      <c r="F6" s="17"/>
      <c r="G6" s="17"/>
      <c r="H6" s="17"/>
      <c r="I6" s="67"/>
      <c r="J6" s="56" t="s">
        <v>64</v>
      </c>
      <c r="K6" s="17"/>
      <c r="L6" s="17"/>
      <c r="M6" s="17"/>
      <c r="N6" s="17"/>
      <c r="O6" s="17"/>
      <c r="P6" s="17"/>
      <c r="Q6" s="17"/>
      <c r="R6" s="17"/>
      <c r="S6" s="18"/>
    </row>
    <row r="7" spans="4:30" ht="16.5" customHeight="1" x14ac:dyDescent="0.25">
      <c r="D7" s="16"/>
      <c r="E7" s="51"/>
      <c r="F7" s="51"/>
      <c r="G7" s="51"/>
      <c r="H7" s="17"/>
      <c r="I7" s="67"/>
      <c r="J7" s="66" t="s">
        <v>65</v>
      </c>
      <c r="K7" s="17"/>
      <c r="L7" s="17"/>
      <c r="M7" s="17"/>
      <c r="N7" s="17"/>
      <c r="O7" s="17"/>
      <c r="P7" s="17"/>
      <c r="Q7" s="17"/>
      <c r="R7" s="17"/>
      <c r="S7" s="18"/>
    </row>
    <row r="8" spans="4:30" x14ac:dyDescent="0.25">
      <c r="D8" s="19"/>
      <c r="E8" s="117"/>
      <c r="F8" s="117"/>
      <c r="G8" s="65"/>
      <c r="H8" s="20"/>
      <c r="I8" s="68"/>
      <c r="J8" s="91"/>
      <c r="K8" s="91"/>
      <c r="L8" s="91"/>
      <c r="M8" s="92"/>
      <c r="N8" s="65"/>
      <c r="O8" s="65"/>
      <c r="P8" s="20"/>
      <c r="Q8" s="117"/>
      <c r="R8" s="117"/>
      <c r="S8" s="21"/>
    </row>
    <row r="9" spans="4:30" x14ac:dyDescent="0.25">
      <c r="D9" s="19"/>
      <c r="E9" s="52"/>
      <c r="F9" s="52"/>
      <c r="G9" s="52"/>
      <c r="H9" s="20"/>
      <c r="I9" s="68"/>
      <c r="J9" s="68"/>
      <c r="K9" s="68"/>
      <c r="L9" s="68"/>
      <c r="M9" s="93"/>
      <c r="N9" s="93"/>
      <c r="O9" s="65"/>
      <c r="P9" s="20"/>
      <c r="Q9" s="47"/>
      <c r="R9" s="48"/>
      <c r="S9" s="21"/>
    </row>
    <row r="10" spans="4:30" ht="16.5" thickBot="1" x14ac:dyDescent="0.3">
      <c r="D10" s="19"/>
      <c r="E10" s="52"/>
      <c r="F10" s="53"/>
      <c r="G10" s="53"/>
      <c r="H10" s="20"/>
      <c r="I10" s="68"/>
      <c r="J10" s="20" t="s">
        <v>74</v>
      </c>
      <c r="K10" s="20"/>
      <c r="L10" s="20"/>
      <c r="M10" s="20"/>
      <c r="N10" s="20"/>
      <c r="O10" s="20"/>
      <c r="P10" s="20"/>
      <c r="Q10" s="20"/>
      <c r="R10" s="20"/>
      <c r="S10" s="21"/>
    </row>
    <row r="11" spans="4:30" ht="16.5" thickBot="1" x14ac:dyDescent="0.3">
      <c r="D11" s="19"/>
      <c r="E11" s="20"/>
      <c r="F11" s="20"/>
      <c r="G11" s="20"/>
      <c r="H11" s="20"/>
      <c r="I11" s="68"/>
      <c r="J11" s="94"/>
      <c r="K11" s="95"/>
      <c r="L11" s="97">
        <v>469108</v>
      </c>
      <c r="M11" s="96"/>
      <c r="N11" s="73"/>
      <c r="O11" s="73"/>
      <c r="P11" s="20"/>
      <c r="Q11" s="20"/>
      <c r="R11" s="20"/>
      <c r="S11" s="21"/>
    </row>
    <row r="12" spans="4:30" x14ac:dyDescent="0.25">
      <c r="D12" s="19"/>
      <c r="E12" s="20"/>
      <c r="F12" s="20"/>
      <c r="G12" s="20"/>
      <c r="H12" s="20"/>
      <c r="I12" s="68"/>
      <c r="J12" s="20"/>
      <c r="K12" s="20"/>
      <c r="L12" s="20"/>
      <c r="M12" s="20"/>
      <c r="N12" s="20"/>
      <c r="O12" s="20"/>
      <c r="P12" s="20"/>
      <c r="Q12" s="20"/>
      <c r="R12" s="20"/>
      <c r="S12" s="21"/>
    </row>
    <row r="13" spans="4:30" x14ac:dyDescent="0.25">
      <c r="D13" s="19"/>
      <c r="E13" s="20"/>
      <c r="F13" s="20"/>
      <c r="G13" s="20"/>
      <c r="H13" s="20"/>
      <c r="I13" s="68"/>
      <c r="J13" s="118" t="s">
        <v>75</v>
      </c>
      <c r="K13" s="119"/>
      <c r="L13" s="119"/>
      <c r="M13" s="120"/>
      <c r="N13" s="75"/>
      <c r="O13" s="90" t="s">
        <v>73</v>
      </c>
      <c r="P13" s="20"/>
      <c r="Q13" s="20"/>
      <c r="R13" s="20"/>
      <c r="S13" s="21"/>
    </row>
    <row r="14" spans="4:30" x14ac:dyDescent="0.25">
      <c r="D14" s="19"/>
      <c r="E14" s="20"/>
      <c r="F14" s="20"/>
      <c r="G14" s="20"/>
      <c r="H14" s="70" t="s">
        <v>68</v>
      </c>
      <c r="I14" s="68"/>
      <c r="J14" s="1" t="s">
        <v>1</v>
      </c>
      <c r="K14" s="2" t="s">
        <v>14</v>
      </c>
      <c r="L14" s="2" t="s">
        <v>0</v>
      </c>
      <c r="M14" s="3" t="s">
        <v>15</v>
      </c>
      <c r="N14" s="3"/>
      <c r="O14" s="86" t="s">
        <v>72</v>
      </c>
      <c r="P14" s="20" t="s">
        <v>38</v>
      </c>
      <c r="Q14" s="20"/>
      <c r="R14" s="20"/>
      <c r="S14" s="21"/>
    </row>
    <row r="15" spans="4:30" x14ac:dyDescent="0.25">
      <c r="D15" s="19"/>
      <c r="E15" s="20"/>
      <c r="F15" s="20"/>
      <c r="G15" s="20"/>
      <c r="H15" s="71" t="s">
        <v>69</v>
      </c>
      <c r="I15" s="68"/>
      <c r="J15" s="4" t="s">
        <v>2</v>
      </c>
      <c r="K15" s="32">
        <v>5000</v>
      </c>
      <c r="L15" s="29">
        <f>$L$11+IF(H15="before 5th",K15,0)</f>
        <v>474108</v>
      </c>
      <c r="M15" s="6">
        <f t="shared" ref="M15:M26" si="0">L15*$P$15/12</f>
        <v>3437.2829999999999</v>
      </c>
      <c r="N15" s="83">
        <f t="shared" ref="N15:N26" si="1">IF(O15=MAX($O$15:$O$26),O15,IF(N14=MAX($O$15:$O$26),N14,0))</f>
        <v>0</v>
      </c>
      <c r="O15" s="87"/>
      <c r="P15" s="88">
        <v>8.6999999999999994E-2</v>
      </c>
      <c r="Q15" s="20"/>
      <c r="R15" s="20"/>
      <c r="S15" s="21"/>
    </row>
    <row r="16" spans="4:30" x14ac:dyDescent="0.25">
      <c r="D16" s="19" t="str">
        <f>IF($M$9=0,"Withdrawal limit","")</f>
        <v>Withdrawal limit</v>
      </c>
      <c r="E16" s="20"/>
      <c r="F16" s="20">
        <f>60%*$L$11</f>
        <v>281464.8</v>
      </c>
      <c r="G16" s="20"/>
      <c r="H16" s="71" t="s">
        <v>69</v>
      </c>
      <c r="I16" s="68"/>
      <c r="J16" s="4" t="s">
        <v>3</v>
      </c>
      <c r="K16" s="32">
        <v>5000</v>
      </c>
      <c r="L16" s="29">
        <f>SUM($K$15:K15)+$L$11+IF(H16="before 5th",K16,0)</f>
        <v>479108</v>
      </c>
      <c r="M16" s="6">
        <f t="shared" si="0"/>
        <v>3473.5329999999999</v>
      </c>
      <c r="N16" s="83">
        <f t="shared" si="1"/>
        <v>0</v>
      </c>
      <c r="O16" s="87"/>
      <c r="P16" s="20" t="s">
        <v>40</v>
      </c>
      <c r="Q16" s="20"/>
      <c r="R16" s="20"/>
      <c r="S16" s="21"/>
    </row>
    <row r="17" spans="4:19" x14ac:dyDescent="0.25">
      <c r="D17" s="19"/>
      <c r="E17" s="20"/>
      <c r="F17" s="20"/>
      <c r="G17" s="20"/>
      <c r="H17" s="71" t="s">
        <v>69</v>
      </c>
      <c r="I17" s="68"/>
      <c r="J17" s="4" t="s">
        <v>4</v>
      </c>
      <c r="K17" s="32">
        <v>5000</v>
      </c>
      <c r="L17" s="29">
        <f>SUM($K$15:K16)+$L$11+IF(H17="before 5th",K17,0)</f>
        <v>484108</v>
      </c>
      <c r="M17" s="6">
        <f t="shared" si="0"/>
        <v>3509.7829999999999</v>
      </c>
      <c r="N17" s="83">
        <f t="shared" si="1"/>
        <v>0</v>
      </c>
      <c r="O17" s="87"/>
      <c r="P17" s="89">
        <v>150000</v>
      </c>
      <c r="Q17" s="20"/>
      <c r="R17" s="20"/>
      <c r="S17" s="21"/>
    </row>
    <row r="18" spans="4:19" x14ac:dyDescent="0.25">
      <c r="D18" s="19"/>
      <c r="E18" s="20"/>
      <c r="F18" s="20"/>
      <c r="G18" s="20"/>
      <c r="H18" s="71" t="s">
        <v>69</v>
      </c>
      <c r="I18" s="68"/>
      <c r="J18" s="4" t="s">
        <v>5</v>
      </c>
      <c r="K18" s="32">
        <v>5000</v>
      </c>
      <c r="L18" s="29">
        <f>SUM($K$15:K17)+$L$11+IF(H18="before 5th",K18,0)</f>
        <v>489108</v>
      </c>
      <c r="M18" s="6">
        <f t="shared" si="0"/>
        <v>3546.0329999999999</v>
      </c>
      <c r="N18" s="83">
        <f t="shared" si="1"/>
        <v>0</v>
      </c>
      <c r="O18" s="87"/>
      <c r="P18" s="41" t="str">
        <f>IF(SUM(K15:K26)&gt;P17,"Warning: total investment exceeds allowed limit","")</f>
        <v/>
      </c>
      <c r="Q18" s="49"/>
      <c r="R18" s="49"/>
      <c r="S18" s="50"/>
    </row>
    <row r="19" spans="4:19" x14ac:dyDescent="0.25">
      <c r="D19" s="19"/>
      <c r="E19" s="20"/>
      <c r="F19" s="20"/>
      <c r="G19" s="20"/>
      <c r="H19" s="71" t="s">
        <v>69</v>
      </c>
      <c r="I19" s="68"/>
      <c r="J19" s="4" t="s">
        <v>6</v>
      </c>
      <c r="K19" s="32">
        <v>5000</v>
      </c>
      <c r="L19" s="29">
        <f>SUM($K$15:K18)+$L$11+IF(H19="before 5th",K19,0)</f>
        <v>494108</v>
      </c>
      <c r="M19" s="6">
        <f t="shared" si="0"/>
        <v>3582.2829999999999</v>
      </c>
      <c r="N19" s="83">
        <f t="shared" si="1"/>
        <v>0</v>
      </c>
      <c r="O19" s="87"/>
      <c r="P19" s="20"/>
      <c r="Q19" s="20"/>
      <c r="R19" s="20"/>
      <c r="S19" s="21"/>
    </row>
    <row r="20" spans="4:19" x14ac:dyDescent="0.25">
      <c r="D20" s="19"/>
      <c r="E20" s="20"/>
      <c r="F20" s="20"/>
      <c r="G20" s="20"/>
      <c r="H20" s="71" t="s">
        <v>69</v>
      </c>
      <c r="I20" s="68"/>
      <c r="J20" s="4" t="s">
        <v>7</v>
      </c>
      <c r="K20" s="32">
        <v>5000</v>
      </c>
      <c r="L20" s="29">
        <f>SUM($K$15:K19)+$L$11+IF(H20="before 5th",K20,0)</f>
        <v>499108</v>
      </c>
      <c r="M20" s="6">
        <f t="shared" si="0"/>
        <v>3618.5329999999999</v>
      </c>
      <c r="N20" s="83">
        <f t="shared" si="1"/>
        <v>0</v>
      </c>
      <c r="O20" s="87"/>
      <c r="P20" s="84" t="str">
        <f>IF(N27&gt;F16,"Withdrawal is above limit","")</f>
        <v/>
      </c>
      <c r="Q20" s="76"/>
      <c r="R20" s="76"/>
      <c r="S20" s="85"/>
    </row>
    <row r="21" spans="4:19" x14ac:dyDescent="0.25">
      <c r="D21" s="19"/>
      <c r="E21" s="20"/>
      <c r="F21" s="20"/>
      <c r="G21" s="20"/>
      <c r="H21" s="71" t="s">
        <v>69</v>
      </c>
      <c r="I21" s="68"/>
      <c r="J21" s="4" t="s">
        <v>8</v>
      </c>
      <c r="K21" s="32">
        <v>5000</v>
      </c>
      <c r="L21" s="29">
        <f>SUM($K$15:K20)+$L$11+IF(H21="before 5th",K21,0)</f>
        <v>504108</v>
      </c>
      <c r="M21" s="6">
        <f t="shared" si="0"/>
        <v>3654.7829999999994</v>
      </c>
      <c r="N21" s="83">
        <f t="shared" si="1"/>
        <v>0</v>
      </c>
      <c r="O21" s="87"/>
      <c r="P21" s="20"/>
      <c r="Q21" s="20"/>
      <c r="R21" s="20"/>
      <c r="S21" s="21"/>
    </row>
    <row r="22" spans="4:19" x14ac:dyDescent="0.25">
      <c r="D22" s="19"/>
      <c r="E22" s="20"/>
      <c r="F22" s="20"/>
      <c r="G22" s="20"/>
      <c r="H22" s="71" t="s">
        <v>69</v>
      </c>
      <c r="I22" s="68"/>
      <c r="J22" s="4" t="s">
        <v>9</v>
      </c>
      <c r="K22" s="32">
        <v>5000</v>
      </c>
      <c r="L22" s="29">
        <f>SUM($K$15:K21)+$L$11+IF(H22="before 5th",K22,0)</f>
        <v>509108</v>
      </c>
      <c r="M22" s="6">
        <f t="shared" si="0"/>
        <v>3691.0329999999994</v>
      </c>
      <c r="N22" s="83">
        <f t="shared" si="1"/>
        <v>0</v>
      </c>
      <c r="O22" s="87"/>
      <c r="P22" s="20"/>
      <c r="Q22" s="20"/>
      <c r="R22" s="20"/>
      <c r="S22" s="21"/>
    </row>
    <row r="23" spans="4:19" x14ac:dyDescent="0.25">
      <c r="D23" s="19"/>
      <c r="E23" s="20"/>
      <c r="F23" s="20"/>
      <c r="G23" s="20"/>
      <c r="H23" s="71" t="s">
        <v>69</v>
      </c>
      <c r="I23" s="68"/>
      <c r="J23" s="4" t="s">
        <v>10</v>
      </c>
      <c r="K23" s="32">
        <v>5000</v>
      </c>
      <c r="L23" s="29">
        <f>SUM($K$15:K22)+$L$11+IF(H23="before 5th",K23,0)</f>
        <v>514108</v>
      </c>
      <c r="M23" s="6">
        <f t="shared" si="0"/>
        <v>3727.2829999999994</v>
      </c>
      <c r="N23" s="83">
        <f t="shared" si="1"/>
        <v>0</v>
      </c>
      <c r="O23" s="87"/>
      <c r="P23" s="20"/>
      <c r="Q23" s="20"/>
      <c r="R23" s="20"/>
      <c r="S23" s="21"/>
    </row>
    <row r="24" spans="4:19" x14ac:dyDescent="0.25">
      <c r="D24" s="19"/>
      <c r="E24" s="20"/>
      <c r="F24" s="20"/>
      <c r="G24" s="20"/>
      <c r="H24" s="71" t="s">
        <v>69</v>
      </c>
      <c r="I24" s="68"/>
      <c r="J24" s="4" t="s">
        <v>11</v>
      </c>
      <c r="K24" s="32">
        <v>5000</v>
      </c>
      <c r="L24" s="29">
        <f>SUM($K$15:K23)+$L$11+IF(H24="before 5th",K24,0)</f>
        <v>519108</v>
      </c>
      <c r="M24" s="6">
        <f t="shared" si="0"/>
        <v>3763.5329999999994</v>
      </c>
      <c r="N24" s="83">
        <f t="shared" si="1"/>
        <v>0</v>
      </c>
      <c r="O24" s="87"/>
      <c r="P24" s="20"/>
      <c r="Q24" s="20"/>
      <c r="R24" s="20"/>
      <c r="S24" s="21"/>
    </row>
    <row r="25" spans="4:19" x14ac:dyDescent="0.25">
      <c r="D25" s="19"/>
      <c r="E25" s="20"/>
      <c r="F25" s="20"/>
      <c r="G25" s="20"/>
      <c r="H25" s="71" t="s">
        <v>69</v>
      </c>
      <c r="I25" s="68"/>
      <c r="J25" s="4" t="s">
        <v>12</v>
      </c>
      <c r="K25" s="32">
        <v>5000</v>
      </c>
      <c r="L25" s="29">
        <f>SUM($K$15:K24)+$L$11+IF(H25="before 5th",K25,0)</f>
        <v>524108</v>
      </c>
      <c r="M25" s="6">
        <f t="shared" si="0"/>
        <v>3799.7829999999994</v>
      </c>
      <c r="N25" s="83">
        <f t="shared" si="1"/>
        <v>0</v>
      </c>
      <c r="O25" s="87"/>
      <c r="P25" s="20"/>
      <c r="Q25" s="20"/>
      <c r="R25" s="20"/>
      <c r="S25" s="21"/>
    </row>
    <row r="26" spans="4:19" x14ac:dyDescent="0.25">
      <c r="D26" s="19"/>
      <c r="E26" s="20"/>
      <c r="F26" s="20"/>
      <c r="G26" s="20"/>
      <c r="H26" s="71" t="s">
        <v>69</v>
      </c>
      <c r="I26" s="68"/>
      <c r="J26" s="4" t="s">
        <v>13</v>
      </c>
      <c r="K26" s="32">
        <v>5000</v>
      </c>
      <c r="L26" s="29">
        <f>SUM($K$15:K25)+$L$11+IF(H26="before 5th",K26,0)</f>
        <v>529108</v>
      </c>
      <c r="M26" s="6">
        <f t="shared" si="0"/>
        <v>3836.0329999999994</v>
      </c>
      <c r="N26" s="83">
        <f t="shared" si="1"/>
        <v>0</v>
      </c>
      <c r="O26" s="87"/>
      <c r="P26" s="20"/>
      <c r="Q26" s="20"/>
      <c r="R26" s="20"/>
      <c r="S26" s="21"/>
    </row>
    <row r="27" spans="4:19" x14ac:dyDescent="0.25">
      <c r="D27" s="19"/>
      <c r="E27" s="20"/>
      <c r="F27" s="20"/>
      <c r="G27" s="20"/>
      <c r="H27" s="20"/>
      <c r="I27" s="68"/>
      <c r="J27" s="7" t="s">
        <v>21</v>
      </c>
      <c r="K27" s="9"/>
      <c r="L27" s="9">
        <f>SUM(K15:K26)+SUM(M15:M26)+L11-N27</f>
        <v>572747.89599999995</v>
      </c>
      <c r="M27" s="10"/>
      <c r="N27" s="68">
        <f>MAX(O15:O26)</f>
        <v>0</v>
      </c>
      <c r="O27" s="73"/>
      <c r="P27" s="20"/>
      <c r="Q27" s="20"/>
      <c r="R27" s="20"/>
      <c r="S27" s="21"/>
    </row>
    <row r="28" spans="4:19" x14ac:dyDescent="0.25">
      <c r="D28" s="19"/>
      <c r="E28" s="20"/>
      <c r="F28" s="20"/>
      <c r="G28" s="20"/>
      <c r="H28" s="20"/>
      <c r="I28" s="68"/>
      <c r="J28" s="20"/>
      <c r="K28" s="20"/>
      <c r="L28" s="20"/>
      <c r="M28" s="20"/>
      <c r="N28" s="68"/>
      <c r="O28" s="20"/>
      <c r="P28" s="20"/>
      <c r="Q28" s="20"/>
      <c r="R28" s="20"/>
      <c r="S28" s="21"/>
    </row>
    <row r="29" spans="4:19" x14ac:dyDescent="0.25">
      <c r="D29" s="19"/>
      <c r="E29" s="20"/>
      <c r="F29" s="20"/>
      <c r="G29" s="20"/>
      <c r="H29" s="20"/>
      <c r="I29" s="68"/>
      <c r="J29" s="118" t="s">
        <v>76</v>
      </c>
      <c r="K29" s="119"/>
      <c r="L29" s="119"/>
      <c r="M29" s="120"/>
      <c r="N29" s="75"/>
      <c r="O29" s="90" t="s">
        <v>73</v>
      </c>
      <c r="P29" s="20"/>
      <c r="Q29" s="20"/>
      <c r="R29" s="20"/>
      <c r="S29" s="21"/>
    </row>
    <row r="30" spans="4:19" x14ac:dyDescent="0.25">
      <c r="D30" s="19"/>
      <c r="E30" s="20"/>
      <c r="F30" s="20"/>
      <c r="G30" s="20"/>
      <c r="H30" s="70" t="s">
        <v>68</v>
      </c>
      <c r="I30" s="68"/>
      <c r="J30" s="1" t="s">
        <v>1</v>
      </c>
      <c r="K30" s="2" t="s">
        <v>14</v>
      </c>
      <c r="L30" s="2" t="s">
        <v>0</v>
      </c>
      <c r="M30" s="3" t="s">
        <v>15</v>
      </c>
      <c r="N30" s="3"/>
      <c r="O30" s="86" t="s">
        <v>72</v>
      </c>
      <c r="P30" s="20" t="s">
        <v>38</v>
      </c>
      <c r="Q30" s="20"/>
      <c r="R30" s="20"/>
      <c r="S30" s="21"/>
    </row>
    <row r="31" spans="4:19" x14ac:dyDescent="0.25">
      <c r="D31" s="19"/>
      <c r="E31" s="20"/>
      <c r="F31" s="20"/>
      <c r="G31" s="20"/>
      <c r="H31" s="71" t="s">
        <v>69</v>
      </c>
      <c r="I31" s="68"/>
      <c r="J31" s="4" t="s">
        <v>2</v>
      </c>
      <c r="K31" s="32">
        <v>5000</v>
      </c>
      <c r="L31" s="29">
        <f>$L$27+IF(H31="before 5th",K31,0)</f>
        <v>577747.89599999995</v>
      </c>
      <c r="M31" s="6">
        <f t="shared" ref="M31:M42" si="2">L31*$P$31/12</f>
        <v>4188.6722459999992</v>
      </c>
      <c r="N31" s="83">
        <f t="shared" ref="N31:N42" si="3">IF(O31=MAX($O$31:$O$42),O31,IF(N30=MAX($O$31:$O$42),N30,0))</f>
        <v>0</v>
      </c>
      <c r="O31" s="87"/>
      <c r="P31" s="88">
        <v>8.6999999999999994E-2</v>
      </c>
      <c r="Q31" s="20"/>
      <c r="R31" s="20"/>
      <c r="S31" s="21"/>
    </row>
    <row r="32" spans="4:19" x14ac:dyDescent="0.25">
      <c r="D32" s="19" t="str">
        <f>IF($M$9=0,"Withdrawal limit","")</f>
        <v>Withdrawal limit</v>
      </c>
      <c r="E32" s="20"/>
      <c r="F32" s="20">
        <f>60%*$L$11</f>
        <v>281464.8</v>
      </c>
      <c r="G32" s="20"/>
      <c r="H32" s="71" t="s">
        <v>69</v>
      </c>
      <c r="I32" s="68"/>
      <c r="J32" s="4" t="s">
        <v>3</v>
      </c>
      <c r="K32" s="32">
        <v>5000</v>
      </c>
      <c r="L32" s="29">
        <f>SUM($K$31:K31)+$L$27+IF(H32="before 5th",K32,0)</f>
        <v>582747.89599999995</v>
      </c>
      <c r="M32" s="6">
        <f t="shared" si="2"/>
        <v>4224.9222459999992</v>
      </c>
      <c r="N32" s="83">
        <f t="shared" si="3"/>
        <v>0</v>
      </c>
      <c r="O32" s="87"/>
      <c r="P32" s="20" t="s">
        <v>40</v>
      </c>
      <c r="Q32" s="20"/>
      <c r="R32" s="20"/>
      <c r="S32" s="21"/>
    </row>
    <row r="33" spans="4:19" x14ac:dyDescent="0.25">
      <c r="D33" s="19"/>
      <c r="E33" s="20"/>
      <c r="F33" s="20"/>
      <c r="G33" s="20"/>
      <c r="H33" s="71" t="s">
        <v>69</v>
      </c>
      <c r="I33" s="68"/>
      <c r="J33" s="4" t="s">
        <v>4</v>
      </c>
      <c r="K33" s="32">
        <v>5000</v>
      </c>
      <c r="L33" s="29">
        <f>SUM($K$31:K32)+$L$27+IF(H33="before 5th",K33,0)</f>
        <v>587747.89599999995</v>
      </c>
      <c r="M33" s="6">
        <f t="shared" si="2"/>
        <v>4261.1722459999992</v>
      </c>
      <c r="N33" s="83">
        <f t="shared" si="3"/>
        <v>0</v>
      </c>
      <c r="O33" s="87"/>
      <c r="P33" s="89">
        <v>150000</v>
      </c>
      <c r="Q33" s="20"/>
      <c r="R33" s="20"/>
      <c r="S33" s="21"/>
    </row>
    <row r="34" spans="4:19" x14ac:dyDescent="0.25">
      <c r="D34" s="19"/>
      <c r="E34" s="20"/>
      <c r="F34" s="20"/>
      <c r="G34" s="20"/>
      <c r="H34" s="71" t="s">
        <v>69</v>
      </c>
      <c r="I34" s="68"/>
      <c r="J34" s="4" t="s">
        <v>5</v>
      </c>
      <c r="K34" s="32">
        <v>5000</v>
      </c>
      <c r="L34" s="29">
        <f>SUM($K$31:K33)+$L$27+IF(H34="before 5th",K34,0)</f>
        <v>592747.89599999995</v>
      </c>
      <c r="M34" s="6">
        <f t="shared" si="2"/>
        <v>4297.4222459999992</v>
      </c>
      <c r="N34" s="83">
        <f t="shared" si="3"/>
        <v>0</v>
      </c>
      <c r="O34" s="87"/>
      <c r="P34" s="41" t="str">
        <f>IF(SUM(K31:K42)&gt;P33,"Warning: total investment exceeds allowed limit","")</f>
        <v/>
      </c>
      <c r="Q34" s="49"/>
      <c r="R34" s="49"/>
      <c r="S34" s="50"/>
    </row>
    <row r="35" spans="4:19" x14ac:dyDescent="0.25">
      <c r="D35" s="19"/>
      <c r="E35" s="20"/>
      <c r="F35" s="20"/>
      <c r="G35" s="20"/>
      <c r="H35" s="71" t="s">
        <v>69</v>
      </c>
      <c r="I35" s="68"/>
      <c r="J35" s="4" t="s">
        <v>6</v>
      </c>
      <c r="K35" s="32">
        <v>5000</v>
      </c>
      <c r="L35" s="29">
        <f>SUM($K$31:K34)+$L$27+IF(H35="before 5th",K35,0)</f>
        <v>597747.89599999995</v>
      </c>
      <c r="M35" s="6">
        <f t="shared" si="2"/>
        <v>4333.6722459999992</v>
      </c>
      <c r="N35" s="83">
        <f t="shared" si="3"/>
        <v>0</v>
      </c>
      <c r="O35" s="87"/>
      <c r="P35" s="20"/>
      <c r="Q35" s="20"/>
      <c r="R35" s="20"/>
      <c r="S35" s="21"/>
    </row>
    <row r="36" spans="4:19" x14ac:dyDescent="0.25">
      <c r="D36" s="19"/>
      <c r="E36" s="20"/>
      <c r="F36" s="20"/>
      <c r="G36" s="20"/>
      <c r="H36" s="71" t="s">
        <v>69</v>
      </c>
      <c r="I36" s="68"/>
      <c r="J36" s="4" t="s">
        <v>7</v>
      </c>
      <c r="K36" s="32">
        <v>5000</v>
      </c>
      <c r="L36" s="29">
        <f>SUM($K$31:K35)+$L$27+IF(H36="before 5th",K36,0)</f>
        <v>602747.89599999995</v>
      </c>
      <c r="M36" s="6">
        <f t="shared" si="2"/>
        <v>4369.9222459999992</v>
      </c>
      <c r="N36" s="83">
        <f t="shared" si="3"/>
        <v>0</v>
      </c>
      <c r="O36" s="87"/>
      <c r="P36" s="84" t="str">
        <f>IF(N43&gt;F32,"Withdrawal is above limit","")</f>
        <v/>
      </c>
      <c r="Q36" s="76"/>
      <c r="R36" s="76"/>
      <c r="S36" s="85"/>
    </row>
    <row r="37" spans="4:19" x14ac:dyDescent="0.25">
      <c r="D37" s="19"/>
      <c r="E37" s="20"/>
      <c r="F37" s="20"/>
      <c r="G37" s="20"/>
      <c r="H37" s="71" t="s">
        <v>69</v>
      </c>
      <c r="I37" s="68"/>
      <c r="J37" s="4" t="s">
        <v>8</v>
      </c>
      <c r="K37" s="32">
        <v>5000</v>
      </c>
      <c r="L37" s="29">
        <f>SUM($K$31:K36)+$L$27+IF(H37="before 5th",K37,0)</f>
        <v>607747.89599999995</v>
      </c>
      <c r="M37" s="6">
        <f t="shared" si="2"/>
        <v>4406.1722459999992</v>
      </c>
      <c r="N37" s="83">
        <f t="shared" si="3"/>
        <v>0</v>
      </c>
      <c r="O37" s="87"/>
      <c r="P37" s="20"/>
      <c r="Q37" s="20"/>
      <c r="R37" s="20"/>
      <c r="S37" s="21"/>
    </row>
    <row r="38" spans="4:19" x14ac:dyDescent="0.25">
      <c r="D38" s="19"/>
      <c r="E38" s="20"/>
      <c r="F38" s="20"/>
      <c r="G38" s="20"/>
      <c r="H38" s="71" t="s">
        <v>69</v>
      </c>
      <c r="I38" s="68"/>
      <c r="J38" s="4" t="s">
        <v>9</v>
      </c>
      <c r="K38" s="32">
        <v>5000</v>
      </c>
      <c r="L38" s="29">
        <f>SUM($K$31:K37)+$L$27+IF(H38="before 5th",K38,0)</f>
        <v>612747.89599999995</v>
      </c>
      <c r="M38" s="6">
        <f t="shared" si="2"/>
        <v>4442.4222459999992</v>
      </c>
      <c r="N38" s="83">
        <f t="shared" si="3"/>
        <v>0</v>
      </c>
      <c r="O38" s="87"/>
      <c r="P38" s="20"/>
      <c r="Q38" s="20"/>
      <c r="R38" s="20"/>
      <c r="S38" s="21"/>
    </row>
    <row r="39" spans="4:19" x14ac:dyDescent="0.25">
      <c r="D39" s="19"/>
      <c r="E39" s="20"/>
      <c r="F39" s="20"/>
      <c r="G39" s="20"/>
      <c r="H39" s="71" t="s">
        <v>69</v>
      </c>
      <c r="I39" s="68"/>
      <c r="J39" s="4" t="s">
        <v>10</v>
      </c>
      <c r="K39" s="32">
        <v>5000</v>
      </c>
      <c r="L39" s="29">
        <f>SUM($K$31:K38)+$L$27+IF(H39="before 5th",K39,0)</f>
        <v>617747.89599999995</v>
      </c>
      <c r="M39" s="6">
        <f t="shared" si="2"/>
        <v>4478.6722459999992</v>
      </c>
      <c r="N39" s="83">
        <f t="shared" si="3"/>
        <v>0</v>
      </c>
      <c r="O39" s="87"/>
      <c r="P39" s="20"/>
      <c r="Q39" s="20"/>
      <c r="R39" s="20"/>
      <c r="S39" s="21"/>
    </row>
    <row r="40" spans="4:19" x14ac:dyDescent="0.25">
      <c r="D40" s="19"/>
      <c r="E40" s="20"/>
      <c r="F40" s="20"/>
      <c r="G40" s="20"/>
      <c r="H40" s="71" t="s">
        <v>69</v>
      </c>
      <c r="I40" s="68"/>
      <c r="J40" s="4" t="s">
        <v>11</v>
      </c>
      <c r="K40" s="32">
        <v>5000</v>
      </c>
      <c r="L40" s="29">
        <f>SUM($K$31:K39)+$L$27+IF(H40="before 5th",K40,0)</f>
        <v>622747.89599999995</v>
      </c>
      <c r="M40" s="6">
        <f t="shared" si="2"/>
        <v>4514.9222459999992</v>
      </c>
      <c r="N40" s="83">
        <f t="shared" si="3"/>
        <v>0</v>
      </c>
      <c r="O40" s="87"/>
      <c r="P40" s="68"/>
      <c r="Q40" s="68"/>
      <c r="R40" s="20"/>
      <c r="S40" s="21"/>
    </row>
    <row r="41" spans="4:19" x14ac:dyDescent="0.25">
      <c r="D41" s="19"/>
      <c r="E41" s="20"/>
      <c r="F41" s="20"/>
      <c r="G41" s="20"/>
      <c r="H41" s="71" t="s">
        <v>69</v>
      </c>
      <c r="I41" s="68"/>
      <c r="J41" s="4" t="s">
        <v>12</v>
      </c>
      <c r="K41" s="32">
        <v>5000</v>
      </c>
      <c r="L41" s="29">
        <f>SUM($K$31:K40)+$L$27+IF(H41="before 5th",K41,0)</f>
        <v>627747.89599999995</v>
      </c>
      <c r="M41" s="6">
        <f t="shared" si="2"/>
        <v>4551.1722459999992</v>
      </c>
      <c r="N41" s="83">
        <f t="shared" si="3"/>
        <v>0</v>
      </c>
      <c r="O41" s="87"/>
      <c r="P41" s="68"/>
      <c r="Q41" s="68"/>
      <c r="R41" s="20"/>
      <c r="S41" s="21"/>
    </row>
    <row r="42" spans="4:19" x14ac:dyDescent="0.25">
      <c r="D42" s="19"/>
      <c r="E42" s="20"/>
      <c r="F42" s="20"/>
      <c r="G42" s="20"/>
      <c r="H42" s="71" t="s">
        <v>69</v>
      </c>
      <c r="I42" s="68"/>
      <c r="J42" s="4" t="s">
        <v>13</v>
      </c>
      <c r="K42" s="32">
        <v>5000</v>
      </c>
      <c r="L42" s="29">
        <f>SUM($K$31:K41)+$L$27+IF(H42="before 5th",K42,0)</f>
        <v>632747.89599999995</v>
      </c>
      <c r="M42" s="6">
        <f t="shared" si="2"/>
        <v>4587.4222459999992</v>
      </c>
      <c r="N42" s="83">
        <f t="shared" si="3"/>
        <v>0</v>
      </c>
      <c r="O42" s="87"/>
      <c r="P42" s="68"/>
      <c r="Q42" s="68"/>
      <c r="R42" s="20"/>
      <c r="S42" s="21"/>
    </row>
    <row r="43" spans="4:19" x14ac:dyDescent="0.25">
      <c r="D43" s="19"/>
      <c r="E43" s="20"/>
      <c r="F43" s="20"/>
      <c r="G43" s="20"/>
      <c r="H43" s="20"/>
      <c r="I43" s="68"/>
      <c r="J43" s="7" t="s">
        <v>21</v>
      </c>
      <c r="K43" s="9"/>
      <c r="L43" s="9">
        <f>SUM(K31:K42)+SUM(M31:M42)+L27-N43</f>
        <v>685404.46295199997</v>
      </c>
      <c r="M43" s="10"/>
      <c r="N43" s="68">
        <f>MAX(O31:O42)</f>
        <v>0</v>
      </c>
      <c r="O43" s="73"/>
      <c r="P43" s="20"/>
      <c r="Q43" s="20"/>
      <c r="R43" s="20"/>
      <c r="S43" s="21"/>
    </row>
    <row r="44" spans="4:19" x14ac:dyDescent="0.25">
      <c r="D44" s="19"/>
      <c r="E44" s="20"/>
      <c r="F44" s="20"/>
      <c r="G44" s="20"/>
      <c r="H44" s="20"/>
      <c r="I44" s="68"/>
      <c r="J44" s="20"/>
      <c r="K44" s="20"/>
      <c r="L44" s="20"/>
      <c r="M44" s="20"/>
      <c r="N44" s="20"/>
      <c r="O44" s="20"/>
      <c r="P44" s="20"/>
      <c r="Q44" s="20"/>
      <c r="R44" s="20"/>
      <c r="S44" s="21"/>
    </row>
    <row r="45" spans="4:19" x14ac:dyDescent="0.25">
      <c r="D45" s="19"/>
      <c r="E45" s="20"/>
      <c r="F45" s="20"/>
      <c r="G45" s="20"/>
      <c r="H45" s="20"/>
      <c r="I45" s="68"/>
      <c r="J45" s="118" t="s">
        <v>77</v>
      </c>
      <c r="K45" s="119"/>
      <c r="L45" s="119"/>
      <c r="M45" s="120"/>
      <c r="N45" s="75"/>
      <c r="O45" s="90" t="s">
        <v>73</v>
      </c>
      <c r="P45" s="20"/>
      <c r="Q45" s="20"/>
      <c r="R45" s="20"/>
      <c r="S45" s="21"/>
    </row>
    <row r="46" spans="4:19" x14ac:dyDescent="0.25">
      <c r="D46" s="19"/>
      <c r="E46" s="20"/>
      <c r="F46" s="20"/>
      <c r="G46" s="20"/>
      <c r="H46" s="70" t="s">
        <v>68</v>
      </c>
      <c r="I46" s="68"/>
      <c r="J46" s="1" t="s">
        <v>1</v>
      </c>
      <c r="K46" s="2" t="s">
        <v>14</v>
      </c>
      <c r="L46" s="2" t="s">
        <v>0</v>
      </c>
      <c r="M46" s="3" t="s">
        <v>15</v>
      </c>
      <c r="N46" s="3"/>
      <c r="O46" s="86" t="s">
        <v>72</v>
      </c>
      <c r="P46" s="20" t="s">
        <v>38</v>
      </c>
      <c r="Q46" s="20"/>
      <c r="R46" s="20"/>
      <c r="S46" s="21"/>
    </row>
    <row r="47" spans="4:19" x14ac:dyDescent="0.25">
      <c r="D47" s="19"/>
      <c r="E47" s="20"/>
      <c r="F47" s="20"/>
      <c r="G47" s="20"/>
      <c r="H47" s="71" t="s">
        <v>69</v>
      </c>
      <c r="I47" s="68"/>
      <c r="J47" s="4" t="s">
        <v>2</v>
      </c>
      <c r="K47" s="32">
        <v>5000</v>
      </c>
      <c r="L47" s="29">
        <f>$L$43+IF(H47="before 5th",K47,0)</f>
        <v>690404.46295199997</v>
      </c>
      <c r="M47" s="6">
        <f t="shared" ref="M47:M58" si="4">L47*$P$47/12</f>
        <v>5005.4323564019996</v>
      </c>
      <c r="N47" s="83">
        <f t="shared" ref="N47:N58" si="5">IF(O47=MAX($O$47:$O$58),O47,IF(N46=MAX($O$47:$O$58),N46,0))</f>
        <v>0</v>
      </c>
      <c r="O47" s="87"/>
      <c r="P47" s="88">
        <v>8.6999999999999994E-2</v>
      </c>
      <c r="Q47" s="20"/>
      <c r="R47" s="20"/>
      <c r="S47" s="21"/>
    </row>
    <row r="48" spans="4:19" x14ac:dyDescent="0.25">
      <c r="D48" s="19" t="str">
        <f>IF($M$9=0,"Withdrawal limit","")</f>
        <v>Withdrawal limit</v>
      </c>
      <c r="E48" s="20"/>
      <c r="F48" s="20">
        <f>60%*$L$11</f>
        <v>281464.8</v>
      </c>
      <c r="G48" s="20"/>
      <c r="H48" s="71" t="s">
        <v>69</v>
      </c>
      <c r="I48" s="68"/>
      <c r="J48" s="4" t="s">
        <v>3</v>
      </c>
      <c r="K48" s="32">
        <v>5000</v>
      </c>
      <c r="L48" s="29">
        <f>SUM($K$47:K47)+$L$43+IF(H48="before 5th",K48,0)</f>
        <v>695404.46295199997</v>
      </c>
      <c r="M48" s="6">
        <f t="shared" si="4"/>
        <v>5041.6823564019996</v>
      </c>
      <c r="N48" s="83">
        <f t="shared" si="5"/>
        <v>0</v>
      </c>
      <c r="O48" s="87"/>
      <c r="P48" s="20" t="s">
        <v>40</v>
      </c>
      <c r="Q48" s="20"/>
      <c r="R48" s="20"/>
      <c r="S48" s="21"/>
    </row>
    <row r="49" spans="4:19" x14ac:dyDescent="0.25">
      <c r="D49" s="19"/>
      <c r="E49" s="20"/>
      <c r="F49" s="20"/>
      <c r="G49" s="20"/>
      <c r="H49" s="71" t="s">
        <v>69</v>
      </c>
      <c r="I49" s="68"/>
      <c r="J49" s="4" t="s">
        <v>4</v>
      </c>
      <c r="K49" s="32">
        <v>5000</v>
      </c>
      <c r="L49" s="29">
        <f>SUM($K$47:K48)+$L$43+IF(H49="before 5th",K49,0)</f>
        <v>700404.46295199997</v>
      </c>
      <c r="M49" s="6">
        <f t="shared" si="4"/>
        <v>5077.9323564019996</v>
      </c>
      <c r="N49" s="83">
        <f t="shared" si="5"/>
        <v>0</v>
      </c>
      <c r="O49" s="87"/>
      <c r="P49" s="89">
        <v>150000</v>
      </c>
      <c r="Q49" s="20"/>
      <c r="R49" s="20"/>
      <c r="S49" s="21"/>
    </row>
    <row r="50" spans="4:19" x14ac:dyDescent="0.25">
      <c r="D50" s="19"/>
      <c r="E50" s="20"/>
      <c r="F50" s="20"/>
      <c r="G50" s="20"/>
      <c r="H50" s="71" t="s">
        <v>69</v>
      </c>
      <c r="I50" s="68"/>
      <c r="J50" s="4" t="s">
        <v>5</v>
      </c>
      <c r="K50" s="32">
        <v>5000</v>
      </c>
      <c r="L50" s="29">
        <f>SUM($K$47:K49)+$L$43+IF(H50="before 5th",K50,0)</f>
        <v>705404.46295199997</v>
      </c>
      <c r="M50" s="6">
        <f t="shared" si="4"/>
        <v>5114.1823564019996</v>
      </c>
      <c r="N50" s="83">
        <f t="shared" si="5"/>
        <v>0</v>
      </c>
      <c r="O50" s="87"/>
      <c r="P50" s="41" t="str">
        <f>IF(SUM(K47:K58)&gt;P49,"Warning: total investment exceeds allowed limit","")</f>
        <v/>
      </c>
      <c r="Q50" s="49"/>
      <c r="R50" s="49"/>
      <c r="S50" s="50"/>
    </row>
    <row r="51" spans="4:19" x14ac:dyDescent="0.25">
      <c r="D51" s="19"/>
      <c r="E51" s="20"/>
      <c r="F51" s="20"/>
      <c r="G51" s="20"/>
      <c r="H51" s="71" t="s">
        <v>69</v>
      </c>
      <c r="I51" s="68"/>
      <c r="J51" s="4" t="s">
        <v>6</v>
      </c>
      <c r="K51" s="32">
        <v>5000</v>
      </c>
      <c r="L51" s="29">
        <f>SUM($K$47:K50)+$L$43+IF(H51="before 5th",K51,0)</f>
        <v>710404.46295199997</v>
      </c>
      <c r="M51" s="6">
        <f t="shared" si="4"/>
        <v>5150.4323564019996</v>
      </c>
      <c r="N51" s="83">
        <f t="shared" si="5"/>
        <v>0</v>
      </c>
      <c r="O51" s="87"/>
      <c r="P51" s="20"/>
      <c r="Q51" s="20"/>
      <c r="R51" s="20"/>
      <c r="S51" s="21"/>
    </row>
    <row r="52" spans="4:19" x14ac:dyDescent="0.25">
      <c r="D52" s="19"/>
      <c r="E52" s="20"/>
      <c r="F52" s="20"/>
      <c r="G52" s="20"/>
      <c r="H52" s="71" t="s">
        <v>69</v>
      </c>
      <c r="I52" s="68"/>
      <c r="J52" s="4" t="s">
        <v>7</v>
      </c>
      <c r="K52" s="32">
        <v>5000</v>
      </c>
      <c r="L52" s="29">
        <f>SUM($K$47:K51)+$L$43+IF(H52="before 5th",K52,0)</f>
        <v>715404.46295199997</v>
      </c>
      <c r="M52" s="6">
        <f t="shared" si="4"/>
        <v>5186.6823564019996</v>
      </c>
      <c r="N52" s="83">
        <f t="shared" si="5"/>
        <v>0</v>
      </c>
      <c r="O52" s="87"/>
      <c r="P52" s="84" t="str">
        <f>IF(N59&gt;F48,"Withdrawal is above limit","")</f>
        <v/>
      </c>
      <c r="Q52" s="76"/>
      <c r="R52" s="76"/>
      <c r="S52" s="85"/>
    </row>
    <row r="53" spans="4:19" x14ac:dyDescent="0.25">
      <c r="D53" s="19"/>
      <c r="E53" s="20"/>
      <c r="F53" s="20"/>
      <c r="G53" s="20"/>
      <c r="H53" s="71" t="s">
        <v>69</v>
      </c>
      <c r="I53" s="68"/>
      <c r="J53" s="4" t="s">
        <v>8</v>
      </c>
      <c r="K53" s="32">
        <v>5000</v>
      </c>
      <c r="L53" s="29">
        <f>SUM($K$47:K52)+$L$43+IF(H53="before 5th",K53,0)</f>
        <v>720404.46295199997</v>
      </c>
      <c r="M53" s="6">
        <f t="shared" si="4"/>
        <v>5222.9323564019996</v>
      </c>
      <c r="N53" s="83">
        <f t="shared" si="5"/>
        <v>0</v>
      </c>
      <c r="O53" s="87"/>
      <c r="P53" s="20"/>
      <c r="Q53" s="20"/>
      <c r="R53" s="20"/>
      <c r="S53" s="21"/>
    </row>
    <row r="54" spans="4:19" x14ac:dyDescent="0.25">
      <c r="D54" s="19"/>
      <c r="E54" s="20"/>
      <c r="F54" s="20"/>
      <c r="G54" s="20"/>
      <c r="H54" s="71" t="s">
        <v>69</v>
      </c>
      <c r="I54" s="68"/>
      <c r="J54" s="4" t="s">
        <v>9</v>
      </c>
      <c r="K54" s="32">
        <v>5000</v>
      </c>
      <c r="L54" s="29">
        <f>SUM($K$47:K53)+$L$43+IF(H54="before 5th",K54,0)</f>
        <v>725404.46295199997</v>
      </c>
      <c r="M54" s="6">
        <f t="shared" si="4"/>
        <v>5259.1823564019996</v>
      </c>
      <c r="N54" s="83">
        <f t="shared" si="5"/>
        <v>0</v>
      </c>
      <c r="O54" s="87"/>
      <c r="P54" s="20"/>
      <c r="Q54" s="20"/>
      <c r="R54" s="20"/>
      <c r="S54" s="21"/>
    </row>
    <row r="55" spans="4:19" x14ac:dyDescent="0.25">
      <c r="D55" s="19"/>
      <c r="E55" s="20"/>
      <c r="F55" s="20"/>
      <c r="G55" s="20"/>
      <c r="H55" s="71" t="s">
        <v>69</v>
      </c>
      <c r="I55" s="68"/>
      <c r="J55" s="4" t="s">
        <v>10</v>
      </c>
      <c r="K55" s="32">
        <v>5000</v>
      </c>
      <c r="L55" s="29">
        <f>SUM($K$47:K54)+$L$43+IF(H55="before 5th",K55,0)</f>
        <v>730404.46295199997</v>
      </c>
      <c r="M55" s="6">
        <f t="shared" si="4"/>
        <v>5295.4323564019996</v>
      </c>
      <c r="N55" s="83">
        <f t="shared" si="5"/>
        <v>0</v>
      </c>
      <c r="O55" s="87"/>
      <c r="P55" s="20"/>
      <c r="Q55" s="20"/>
      <c r="R55" s="20"/>
      <c r="S55" s="21"/>
    </row>
    <row r="56" spans="4:19" x14ac:dyDescent="0.25">
      <c r="D56" s="19"/>
      <c r="E56" s="20"/>
      <c r="F56" s="20"/>
      <c r="G56" s="20"/>
      <c r="H56" s="71" t="s">
        <v>69</v>
      </c>
      <c r="I56" s="68"/>
      <c r="J56" s="4" t="s">
        <v>11</v>
      </c>
      <c r="K56" s="32">
        <v>5000</v>
      </c>
      <c r="L56" s="29">
        <f>SUM($K$47:K55)+$L$43+IF(H56="before 5th",K56,0)</f>
        <v>735404.46295199997</v>
      </c>
      <c r="M56" s="6">
        <f t="shared" si="4"/>
        <v>5331.6823564019996</v>
      </c>
      <c r="N56" s="83">
        <f t="shared" si="5"/>
        <v>0</v>
      </c>
      <c r="O56" s="87"/>
      <c r="P56" s="68"/>
      <c r="Q56" s="68"/>
      <c r="R56" s="20"/>
      <c r="S56" s="21"/>
    </row>
    <row r="57" spans="4:19" x14ac:dyDescent="0.25">
      <c r="D57" s="19"/>
      <c r="E57" s="20"/>
      <c r="F57" s="20"/>
      <c r="G57" s="20"/>
      <c r="H57" s="71" t="s">
        <v>69</v>
      </c>
      <c r="I57" s="68"/>
      <c r="J57" s="4" t="s">
        <v>12</v>
      </c>
      <c r="K57" s="32">
        <v>5000</v>
      </c>
      <c r="L57" s="29">
        <f>SUM($K$47:K56)+$L$43+IF(H57="before 5th",K57,0)</f>
        <v>740404.46295199997</v>
      </c>
      <c r="M57" s="6">
        <f t="shared" si="4"/>
        <v>5367.9323564019996</v>
      </c>
      <c r="N57" s="83">
        <f t="shared" si="5"/>
        <v>0</v>
      </c>
      <c r="O57" s="87"/>
      <c r="P57" s="68"/>
      <c r="Q57" s="68"/>
      <c r="R57" s="20"/>
      <c r="S57" s="21"/>
    </row>
    <row r="58" spans="4:19" x14ac:dyDescent="0.25">
      <c r="D58" s="19"/>
      <c r="E58" s="20"/>
      <c r="F58" s="20"/>
      <c r="G58" s="20"/>
      <c r="H58" s="71" t="s">
        <v>69</v>
      </c>
      <c r="I58" s="68"/>
      <c r="J58" s="4" t="s">
        <v>13</v>
      </c>
      <c r="K58" s="32">
        <v>5000</v>
      </c>
      <c r="L58" s="29">
        <f>SUM($K$47:K57)+$L$43+IF(H58="before 5th",K58,0)</f>
        <v>745404.46295199997</v>
      </c>
      <c r="M58" s="6">
        <f t="shared" si="4"/>
        <v>5404.1823564019996</v>
      </c>
      <c r="N58" s="83">
        <f t="shared" si="5"/>
        <v>0</v>
      </c>
      <c r="O58" s="87"/>
      <c r="P58" s="68"/>
      <c r="Q58" s="68"/>
      <c r="R58" s="20"/>
      <c r="S58" s="21"/>
    </row>
    <row r="59" spans="4:19" x14ac:dyDescent="0.25">
      <c r="D59" s="19"/>
      <c r="E59" s="20"/>
      <c r="F59" s="20"/>
      <c r="G59" s="20"/>
      <c r="H59" s="20"/>
      <c r="I59" s="68"/>
      <c r="J59" s="7" t="s">
        <v>21</v>
      </c>
      <c r="K59" s="9"/>
      <c r="L59" s="9">
        <f>SUM(K47:K58)+SUM(M47:M58)+L43-N59</f>
        <v>807862.15122882393</v>
      </c>
      <c r="M59" s="10"/>
      <c r="N59" s="68">
        <f>MAX(O47:O58)</f>
        <v>0</v>
      </c>
      <c r="O59" s="73"/>
      <c r="P59" s="20"/>
      <c r="Q59" s="20"/>
      <c r="R59" s="20"/>
      <c r="S59" s="21"/>
    </row>
    <row r="60" spans="4:19" x14ac:dyDescent="0.25">
      <c r="D60" s="19"/>
      <c r="E60" s="20"/>
      <c r="F60" s="20"/>
      <c r="G60" s="20"/>
      <c r="H60" s="20"/>
      <c r="I60" s="68"/>
      <c r="J60" s="20"/>
      <c r="K60" s="20"/>
      <c r="L60" s="20"/>
      <c r="M60" s="20"/>
      <c r="N60" s="20"/>
      <c r="O60" s="20"/>
      <c r="P60" s="20"/>
      <c r="Q60" s="20"/>
      <c r="R60" s="20"/>
      <c r="S60" s="21"/>
    </row>
    <row r="61" spans="4:19" x14ac:dyDescent="0.25">
      <c r="D61" s="19"/>
      <c r="E61" s="20"/>
      <c r="F61" s="20"/>
      <c r="G61" s="20"/>
      <c r="H61" s="20"/>
      <c r="I61" s="68"/>
      <c r="J61" s="118" t="s">
        <v>78</v>
      </c>
      <c r="K61" s="119"/>
      <c r="L61" s="119"/>
      <c r="M61" s="120"/>
      <c r="N61" s="75"/>
      <c r="O61" s="90" t="s">
        <v>73</v>
      </c>
      <c r="P61" s="20"/>
      <c r="Q61" s="20"/>
      <c r="R61" s="20"/>
      <c r="S61" s="21"/>
    </row>
    <row r="62" spans="4:19" x14ac:dyDescent="0.25">
      <c r="D62" s="19"/>
      <c r="E62" s="20"/>
      <c r="F62" s="20"/>
      <c r="G62" s="20"/>
      <c r="H62" s="70" t="s">
        <v>68</v>
      </c>
      <c r="I62" s="68"/>
      <c r="J62" s="1" t="s">
        <v>1</v>
      </c>
      <c r="K62" s="2" t="s">
        <v>14</v>
      </c>
      <c r="L62" s="2" t="s">
        <v>0</v>
      </c>
      <c r="M62" s="3" t="s">
        <v>15</v>
      </c>
      <c r="N62" s="3"/>
      <c r="O62" s="86" t="s">
        <v>72</v>
      </c>
      <c r="P62" s="20" t="s">
        <v>38</v>
      </c>
      <c r="Q62" s="20"/>
      <c r="R62" s="20"/>
      <c r="S62" s="21"/>
    </row>
    <row r="63" spans="4:19" x14ac:dyDescent="0.25">
      <c r="D63" s="19"/>
      <c r="E63" s="20"/>
      <c r="F63" s="20"/>
      <c r="G63" s="20"/>
      <c r="H63" s="71" t="s">
        <v>69</v>
      </c>
      <c r="I63" s="68"/>
      <c r="J63" s="4" t="s">
        <v>2</v>
      </c>
      <c r="K63" s="32">
        <v>5000</v>
      </c>
      <c r="L63" s="29">
        <f>$L$59+IF(H63="before 5th",K63,0)</f>
        <v>812862.15122882393</v>
      </c>
      <c r="M63" s="6">
        <f t="shared" ref="M63:M74" si="6">L63*$P$63/12</f>
        <v>5893.2505964089733</v>
      </c>
      <c r="N63" s="83">
        <f t="shared" ref="N63:N74" si="7">IF(O63=MAX($O$63:$O$74),O63,IF(N62=MAX($O$63:$O$74),N62,0))</f>
        <v>0</v>
      </c>
      <c r="O63" s="87"/>
      <c r="P63" s="88">
        <v>8.6999999999999994E-2</v>
      </c>
      <c r="Q63" s="20"/>
      <c r="R63" s="20"/>
      <c r="S63" s="21"/>
    </row>
    <row r="64" spans="4:19" x14ac:dyDescent="0.25">
      <c r="D64" s="19" t="str">
        <f>IF($M$9=0,"Withdrawal limit","")</f>
        <v>Withdrawal limit</v>
      </c>
      <c r="E64" s="20"/>
      <c r="F64" s="20">
        <f>60%*$L$11</f>
        <v>281464.8</v>
      </c>
      <c r="G64" s="20"/>
      <c r="H64" s="71" t="s">
        <v>69</v>
      </c>
      <c r="I64" s="68"/>
      <c r="J64" s="4" t="s">
        <v>3</v>
      </c>
      <c r="K64" s="32">
        <v>5000</v>
      </c>
      <c r="L64" s="29">
        <f>SUM($K$63:K63)+$L$59+IF(H64="before 5th",K64,0)</f>
        <v>817862.15122882393</v>
      </c>
      <c r="M64" s="6">
        <f t="shared" si="6"/>
        <v>5929.5005964089733</v>
      </c>
      <c r="N64" s="83">
        <f t="shared" si="7"/>
        <v>0</v>
      </c>
      <c r="O64" s="87"/>
      <c r="P64" s="20" t="s">
        <v>40</v>
      </c>
      <c r="Q64" s="20"/>
      <c r="R64" s="20"/>
      <c r="S64" s="21"/>
    </row>
    <row r="65" spans="4:19" x14ac:dyDescent="0.25">
      <c r="D65" s="19"/>
      <c r="E65" s="20"/>
      <c r="F65" s="20"/>
      <c r="G65" s="20"/>
      <c r="H65" s="71" t="s">
        <v>69</v>
      </c>
      <c r="I65" s="68"/>
      <c r="J65" s="4" t="s">
        <v>4</v>
      </c>
      <c r="K65" s="32">
        <v>5000</v>
      </c>
      <c r="L65" s="29">
        <f>SUM($K$63:K64)+$L$59+IF(H65="before 5th",K65,0)</f>
        <v>822862.15122882393</v>
      </c>
      <c r="M65" s="6">
        <f t="shared" si="6"/>
        <v>5965.7505964089733</v>
      </c>
      <c r="N65" s="83">
        <f t="shared" si="7"/>
        <v>0</v>
      </c>
      <c r="O65" s="87"/>
      <c r="P65" s="89">
        <v>150000</v>
      </c>
      <c r="Q65" s="20"/>
      <c r="R65" s="20"/>
      <c r="S65" s="21"/>
    </row>
    <row r="66" spans="4:19" x14ac:dyDescent="0.25">
      <c r="D66" s="19"/>
      <c r="E66" s="20"/>
      <c r="F66" s="20"/>
      <c r="G66" s="20"/>
      <c r="H66" s="71" t="s">
        <v>69</v>
      </c>
      <c r="I66" s="68"/>
      <c r="J66" s="4" t="s">
        <v>5</v>
      </c>
      <c r="K66" s="32">
        <v>5000</v>
      </c>
      <c r="L66" s="29">
        <f>SUM($K$63:K65)+$L$59+IF(H66="before 5th",K66,0)</f>
        <v>827862.15122882393</v>
      </c>
      <c r="M66" s="6">
        <f t="shared" si="6"/>
        <v>6002.0005964089733</v>
      </c>
      <c r="N66" s="83">
        <f t="shared" si="7"/>
        <v>0</v>
      </c>
      <c r="O66" s="87"/>
      <c r="P66" s="41" t="str">
        <f>IF(SUM(K63:K74)&gt;P65,"Warning: total investment exceeds allowed limit","")</f>
        <v/>
      </c>
      <c r="Q66" s="49"/>
      <c r="R66" s="49"/>
      <c r="S66" s="50"/>
    </row>
    <row r="67" spans="4:19" x14ac:dyDescent="0.25">
      <c r="D67" s="19"/>
      <c r="E67" s="20"/>
      <c r="F67" s="20"/>
      <c r="G67" s="20"/>
      <c r="H67" s="71" t="s">
        <v>69</v>
      </c>
      <c r="I67" s="68"/>
      <c r="J67" s="4" t="s">
        <v>6</v>
      </c>
      <c r="K67" s="32">
        <v>5000</v>
      </c>
      <c r="L67" s="29">
        <f>SUM($K$63:K66)+$L$59+IF(H67="before 5th",K67,0)</f>
        <v>832862.15122882393</v>
      </c>
      <c r="M67" s="6">
        <f t="shared" si="6"/>
        <v>6038.2505964089733</v>
      </c>
      <c r="N67" s="83">
        <f t="shared" si="7"/>
        <v>0</v>
      </c>
      <c r="O67" s="87"/>
      <c r="P67" s="20"/>
      <c r="Q67" s="20"/>
      <c r="R67" s="20"/>
      <c r="S67" s="21"/>
    </row>
    <row r="68" spans="4:19" x14ac:dyDescent="0.25">
      <c r="D68" s="19"/>
      <c r="E68" s="20"/>
      <c r="F68" s="20"/>
      <c r="G68" s="20"/>
      <c r="H68" s="71" t="s">
        <v>69</v>
      </c>
      <c r="I68" s="68"/>
      <c r="J68" s="4" t="s">
        <v>7</v>
      </c>
      <c r="K68" s="32">
        <v>5000</v>
      </c>
      <c r="L68" s="29">
        <f>SUM($K$63:K67)+$L$59+IF(H68="before 5th",K68,0)</f>
        <v>837862.15122882393</v>
      </c>
      <c r="M68" s="6">
        <f t="shared" si="6"/>
        <v>6074.5005964089733</v>
      </c>
      <c r="N68" s="83">
        <f t="shared" si="7"/>
        <v>0</v>
      </c>
      <c r="O68" s="87"/>
      <c r="P68" s="84" t="str">
        <f>IF(N75&gt;F64,"Withdrawal is above limit","")</f>
        <v/>
      </c>
      <c r="Q68" s="76"/>
      <c r="R68" s="76"/>
      <c r="S68" s="85"/>
    </row>
    <row r="69" spans="4:19" x14ac:dyDescent="0.25">
      <c r="D69" s="19"/>
      <c r="E69" s="20"/>
      <c r="F69" s="20"/>
      <c r="G69" s="20"/>
      <c r="H69" s="71" t="s">
        <v>69</v>
      </c>
      <c r="I69" s="68"/>
      <c r="J69" s="4" t="s">
        <v>8</v>
      </c>
      <c r="K69" s="32">
        <v>5000</v>
      </c>
      <c r="L69" s="29">
        <f>SUM($K$63:K68)+$L$59+IF(H69="before 5th",K69,0)</f>
        <v>842862.15122882393</v>
      </c>
      <c r="M69" s="6">
        <f t="shared" si="6"/>
        <v>6110.7505964089733</v>
      </c>
      <c r="N69" s="83">
        <f t="shared" si="7"/>
        <v>0</v>
      </c>
      <c r="O69" s="87"/>
      <c r="P69" s="20"/>
      <c r="Q69" s="20"/>
      <c r="R69" s="20"/>
      <c r="S69" s="21"/>
    </row>
    <row r="70" spans="4:19" x14ac:dyDescent="0.25">
      <c r="D70" s="19"/>
      <c r="E70" s="20"/>
      <c r="F70" s="20"/>
      <c r="G70" s="20"/>
      <c r="H70" s="71" t="s">
        <v>69</v>
      </c>
      <c r="I70" s="68"/>
      <c r="J70" s="4" t="s">
        <v>9</v>
      </c>
      <c r="K70" s="32">
        <v>5000</v>
      </c>
      <c r="L70" s="29">
        <f>SUM($K$63:K69)+$L$59+IF(H70="before 5th",K70,0)</f>
        <v>847862.15122882393</v>
      </c>
      <c r="M70" s="6">
        <f t="shared" si="6"/>
        <v>6147.0005964089733</v>
      </c>
      <c r="N70" s="83">
        <f t="shared" si="7"/>
        <v>0</v>
      </c>
      <c r="O70" s="87"/>
      <c r="P70" s="20"/>
      <c r="Q70" s="20"/>
      <c r="R70" s="20"/>
      <c r="S70" s="21"/>
    </row>
    <row r="71" spans="4:19" x14ac:dyDescent="0.25">
      <c r="D71" s="19"/>
      <c r="E71" s="20"/>
      <c r="F71" s="20"/>
      <c r="G71" s="20"/>
      <c r="H71" s="71" t="s">
        <v>69</v>
      </c>
      <c r="I71" s="68"/>
      <c r="J71" s="4" t="s">
        <v>10</v>
      </c>
      <c r="K71" s="32">
        <v>5000</v>
      </c>
      <c r="L71" s="29">
        <f>SUM($K$63:K70)+$L$59+IF(H71="before 5th",K71,0)</f>
        <v>852862.15122882393</v>
      </c>
      <c r="M71" s="6">
        <f t="shared" si="6"/>
        <v>6183.2505964089733</v>
      </c>
      <c r="N71" s="83">
        <f t="shared" si="7"/>
        <v>0</v>
      </c>
      <c r="O71" s="87"/>
      <c r="P71" s="20"/>
      <c r="Q71" s="20"/>
      <c r="R71" s="20"/>
      <c r="S71" s="21"/>
    </row>
    <row r="72" spans="4:19" x14ac:dyDescent="0.25">
      <c r="D72" s="19"/>
      <c r="E72" s="20"/>
      <c r="F72" s="20"/>
      <c r="G72" s="20"/>
      <c r="H72" s="71" t="s">
        <v>69</v>
      </c>
      <c r="I72" s="68"/>
      <c r="J72" s="4" t="s">
        <v>11</v>
      </c>
      <c r="K72" s="32">
        <v>5000</v>
      </c>
      <c r="L72" s="29">
        <f>SUM($K$63:K71)+$L$59+IF(H72="before 5th",K72,0)</f>
        <v>857862.15122882393</v>
      </c>
      <c r="M72" s="6">
        <f t="shared" si="6"/>
        <v>6219.5005964089733</v>
      </c>
      <c r="N72" s="83">
        <f t="shared" si="7"/>
        <v>0</v>
      </c>
      <c r="O72" s="87"/>
      <c r="P72" s="68"/>
      <c r="Q72" s="68"/>
      <c r="R72" s="20"/>
      <c r="S72" s="21"/>
    </row>
    <row r="73" spans="4:19" x14ac:dyDescent="0.25">
      <c r="D73" s="19"/>
      <c r="E73" s="20"/>
      <c r="F73" s="20"/>
      <c r="G73" s="20"/>
      <c r="H73" s="71" t="s">
        <v>69</v>
      </c>
      <c r="I73" s="68"/>
      <c r="J73" s="4" t="s">
        <v>12</v>
      </c>
      <c r="K73" s="32">
        <v>5000</v>
      </c>
      <c r="L73" s="29">
        <f>SUM($K$63:K72)+$L$59+IF(H73="before 5th",K73,0)</f>
        <v>862862.15122882393</v>
      </c>
      <c r="M73" s="6">
        <f t="shared" si="6"/>
        <v>6255.7505964089733</v>
      </c>
      <c r="N73" s="83">
        <f t="shared" si="7"/>
        <v>0</v>
      </c>
      <c r="O73" s="87"/>
      <c r="P73" s="68"/>
      <c r="Q73" s="68"/>
      <c r="R73" s="20"/>
      <c r="S73" s="21"/>
    </row>
    <row r="74" spans="4:19" x14ac:dyDescent="0.25">
      <c r="D74" s="19"/>
      <c r="E74" s="20"/>
      <c r="F74" s="20"/>
      <c r="G74" s="20"/>
      <c r="H74" s="71" t="s">
        <v>69</v>
      </c>
      <c r="I74" s="68"/>
      <c r="J74" s="4" t="s">
        <v>13</v>
      </c>
      <c r="K74" s="32">
        <v>5000</v>
      </c>
      <c r="L74" s="29">
        <f>SUM($K$63:K73)+$L$59+IF(H74="before 5th",K74,0)</f>
        <v>867862.15122882393</v>
      </c>
      <c r="M74" s="6">
        <f t="shared" si="6"/>
        <v>6292.0005964089733</v>
      </c>
      <c r="N74" s="83">
        <f t="shared" si="7"/>
        <v>0</v>
      </c>
      <c r="O74" s="87"/>
      <c r="P74" s="68"/>
      <c r="Q74" s="68"/>
      <c r="R74" s="20"/>
      <c r="S74" s="21"/>
    </row>
    <row r="75" spans="4:19" x14ac:dyDescent="0.25">
      <c r="D75" s="19"/>
      <c r="E75" s="20"/>
      <c r="F75" s="20"/>
      <c r="G75" s="20"/>
      <c r="H75" s="20"/>
      <c r="I75" s="68"/>
      <c r="J75" s="7" t="s">
        <v>21</v>
      </c>
      <c r="K75" s="9"/>
      <c r="L75" s="9">
        <f>SUM(K63:K74)+SUM(M63:M74)+L59-N75</f>
        <v>940973.65838573163</v>
      </c>
      <c r="M75" s="10"/>
      <c r="N75" s="68">
        <f>MAX(O63:O74)</f>
        <v>0</v>
      </c>
      <c r="O75" s="73"/>
      <c r="P75" s="20"/>
      <c r="Q75" s="20"/>
      <c r="R75" s="20"/>
      <c r="S75" s="21"/>
    </row>
    <row r="76" spans="4:19" x14ac:dyDescent="0.25">
      <c r="D76" s="19"/>
      <c r="E76" s="20"/>
      <c r="F76" s="20"/>
      <c r="G76" s="20"/>
      <c r="H76" s="20"/>
      <c r="I76" s="68"/>
      <c r="J76" s="20"/>
      <c r="K76" s="20"/>
      <c r="L76" s="20"/>
      <c r="M76" s="20"/>
      <c r="N76" s="20"/>
      <c r="O76" s="20"/>
      <c r="P76" s="20"/>
      <c r="Q76" s="20"/>
      <c r="R76" s="20"/>
      <c r="S76" s="21"/>
    </row>
    <row r="77" spans="4:19" x14ac:dyDescent="0.25">
      <c r="D77" s="19"/>
      <c r="E77" s="20"/>
      <c r="F77" s="20"/>
      <c r="G77" s="20"/>
      <c r="H77" s="20"/>
      <c r="I77" s="68"/>
      <c r="J77" s="118" t="s">
        <v>79</v>
      </c>
      <c r="K77" s="119"/>
      <c r="L77" s="119"/>
      <c r="M77" s="120"/>
      <c r="N77" s="75"/>
      <c r="O77" s="90" t="s">
        <v>73</v>
      </c>
      <c r="P77" s="20"/>
      <c r="Q77" s="20"/>
      <c r="R77" s="20"/>
      <c r="S77" s="21"/>
    </row>
    <row r="78" spans="4:19" x14ac:dyDescent="0.25">
      <c r="D78" s="19"/>
      <c r="E78" s="20"/>
      <c r="F78" s="20"/>
      <c r="G78" s="20"/>
      <c r="H78" s="70" t="s">
        <v>68</v>
      </c>
      <c r="I78" s="68"/>
      <c r="J78" s="1" t="s">
        <v>1</v>
      </c>
      <c r="K78" s="2" t="s">
        <v>14</v>
      </c>
      <c r="L78" s="2" t="s">
        <v>0</v>
      </c>
      <c r="M78" s="3" t="s">
        <v>15</v>
      </c>
      <c r="N78" s="3"/>
      <c r="O78" s="86" t="s">
        <v>72</v>
      </c>
      <c r="P78" s="20" t="s">
        <v>38</v>
      </c>
      <c r="Q78" s="20"/>
      <c r="R78" s="20"/>
      <c r="S78" s="21"/>
    </row>
    <row r="79" spans="4:19" x14ac:dyDescent="0.25">
      <c r="D79" s="19"/>
      <c r="E79" s="20"/>
      <c r="F79" s="20"/>
      <c r="G79" s="20"/>
      <c r="H79" s="71" t="s">
        <v>69</v>
      </c>
      <c r="I79" s="68"/>
      <c r="J79" s="4" t="s">
        <v>2</v>
      </c>
      <c r="K79" s="32">
        <v>5000</v>
      </c>
      <c r="L79" s="29">
        <f>$L$75+IF(H79="before 5th",K79,0)</f>
        <v>945973.65838573163</v>
      </c>
      <c r="M79" s="6">
        <f t="shared" ref="M79:M90" si="8">L79*$P$79/12</f>
        <v>6858.3090232965542</v>
      </c>
      <c r="N79" s="83">
        <f t="shared" ref="N79:N90" si="9">IF(O79=MAX($O$79:$O$90),O79,IF(N78=MAX($O$79:$O$90),N78,0))</f>
        <v>0</v>
      </c>
      <c r="O79" s="87"/>
      <c r="P79" s="88">
        <v>8.6999999999999994E-2</v>
      </c>
      <c r="Q79" s="20"/>
      <c r="R79" s="20"/>
      <c r="S79" s="21"/>
    </row>
    <row r="80" spans="4:19" x14ac:dyDescent="0.25">
      <c r="D80" s="19" t="str">
        <f>IF($M$9=0,"Withdrawal limit","")</f>
        <v>Withdrawal limit</v>
      </c>
      <c r="E80" s="20"/>
      <c r="F80" s="20">
        <f>60%*$L$11</f>
        <v>281464.8</v>
      </c>
      <c r="G80" s="20"/>
      <c r="H80" s="71" t="s">
        <v>69</v>
      </c>
      <c r="I80" s="68"/>
      <c r="J80" s="4" t="s">
        <v>3</v>
      </c>
      <c r="K80" s="32">
        <v>5000</v>
      </c>
      <c r="L80" s="29">
        <f>SUM($K$79:K79)+$L$75+IF(H80="before 5th",K80,0)</f>
        <v>950973.65838573163</v>
      </c>
      <c r="M80" s="6">
        <f t="shared" si="8"/>
        <v>6894.5590232965542</v>
      </c>
      <c r="N80" s="83">
        <f t="shared" si="9"/>
        <v>0</v>
      </c>
      <c r="O80" s="87"/>
      <c r="P80" s="20" t="s">
        <v>40</v>
      </c>
      <c r="Q80" s="20"/>
      <c r="R80" s="20"/>
      <c r="S80" s="21"/>
    </row>
    <row r="81" spans="4:19" x14ac:dyDescent="0.25">
      <c r="D81" s="19"/>
      <c r="E81" s="20"/>
      <c r="F81" s="20"/>
      <c r="G81" s="20"/>
      <c r="H81" s="71" t="s">
        <v>69</v>
      </c>
      <c r="I81" s="68"/>
      <c r="J81" s="4" t="s">
        <v>4</v>
      </c>
      <c r="K81" s="32">
        <v>5000</v>
      </c>
      <c r="L81" s="29">
        <f>SUM($K$79:K80)+$L$75+IF(H81="before 5th",K81,0)</f>
        <v>955973.65838573163</v>
      </c>
      <c r="M81" s="6">
        <f t="shared" si="8"/>
        <v>6930.8090232965542</v>
      </c>
      <c r="N81" s="83">
        <f t="shared" si="9"/>
        <v>0</v>
      </c>
      <c r="O81" s="87"/>
      <c r="P81" s="89">
        <v>150000</v>
      </c>
      <c r="Q81" s="20"/>
      <c r="R81" s="20"/>
      <c r="S81" s="21"/>
    </row>
    <row r="82" spans="4:19" x14ac:dyDescent="0.25">
      <c r="D82" s="19"/>
      <c r="E82" s="20"/>
      <c r="F82" s="20"/>
      <c r="G82" s="20"/>
      <c r="H82" s="71" t="s">
        <v>69</v>
      </c>
      <c r="I82" s="68"/>
      <c r="J82" s="4" t="s">
        <v>5</v>
      </c>
      <c r="K82" s="32">
        <v>5000</v>
      </c>
      <c r="L82" s="29">
        <f>SUM($K$79:K81)+$L$75+IF(H82="before 5th",K82,0)</f>
        <v>960973.65838573163</v>
      </c>
      <c r="M82" s="6">
        <f t="shared" si="8"/>
        <v>6967.0590232965542</v>
      </c>
      <c r="N82" s="83">
        <f t="shared" si="9"/>
        <v>0</v>
      </c>
      <c r="O82" s="87"/>
      <c r="P82" s="41" t="str">
        <f>IF(SUM(K79:K90)&gt;P81,"Warning: total investment exceeds allowed limit","")</f>
        <v/>
      </c>
      <c r="Q82" s="49"/>
      <c r="R82" s="49"/>
      <c r="S82" s="50"/>
    </row>
    <row r="83" spans="4:19" x14ac:dyDescent="0.25">
      <c r="D83" s="19"/>
      <c r="E83" s="20"/>
      <c r="F83" s="20"/>
      <c r="G83" s="20"/>
      <c r="H83" s="71" t="s">
        <v>69</v>
      </c>
      <c r="I83" s="68"/>
      <c r="J83" s="4" t="s">
        <v>6</v>
      </c>
      <c r="K83" s="32">
        <v>5000</v>
      </c>
      <c r="L83" s="29">
        <f>SUM($K$79:K82)+$L$75+IF(H83="before 5th",K83,0)</f>
        <v>965973.65838573163</v>
      </c>
      <c r="M83" s="6">
        <f t="shared" si="8"/>
        <v>7003.3090232965542</v>
      </c>
      <c r="N83" s="83">
        <f t="shared" si="9"/>
        <v>0</v>
      </c>
      <c r="O83" s="87"/>
      <c r="P83" s="20"/>
      <c r="Q83" s="20"/>
      <c r="R83" s="20"/>
      <c r="S83" s="21"/>
    </row>
    <row r="84" spans="4:19" x14ac:dyDescent="0.25">
      <c r="D84" s="19"/>
      <c r="E84" s="20"/>
      <c r="F84" s="20"/>
      <c r="G84" s="20"/>
      <c r="H84" s="71" t="s">
        <v>69</v>
      </c>
      <c r="I84" s="68"/>
      <c r="J84" s="4" t="s">
        <v>7</v>
      </c>
      <c r="K84" s="32">
        <v>5000</v>
      </c>
      <c r="L84" s="29">
        <f>SUM($K$79:K83)+$L$75+IF(H84="before 5th",K84,0)</f>
        <v>970973.65838573163</v>
      </c>
      <c r="M84" s="6">
        <f t="shared" si="8"/>
        <v>7039.5590232965542</v>
      </c>
      <c r="N84" s="83">
        <f t="shared" si="9"/>
        <v>0</v>
      </c>
      <c r="O84" s="87"/>
      <c r="P84" s="84" t="str">
        <f>IF(N91&gt;F80,"Withdrawal is above limit","")</f>
        <v/>
      </c>
      <c r="Q84" s="76"/>
      <c r="R84" s="76"/>
      <c r="S84" s="85"/>
    </row>
    <row r="85" spans="4:19" x14ac:dyDescent="0.25">
      <c r="D85" s="19"/>
      <c r="E85" s="20"/>
      <c r="F85" s="20"/>
      <c r="G85" s="20"/>
      <c r="H85" s="71" t="s">
        <v>69</v>
      </c>
      <c r="I85" s="68"/>
      <c r="J85" s="4" t="s">
        <v>8</v>
      </c>
      <c r="K85" s="32">
        <v>5000</v>
      </c>
      <c r="L85" s="29">
        <f>SUM($K$79:K84)+$L$75+IF(H85="before 5th",K85,0)</f>
        <v>975973.65838573163</v>
      </c>
      <c r="M85" s="6">
        <f t="shared" si="8"/>
        <v>7075.8090232965542</v>
      </c>
      <c r="N85" s="83">
        <f t="shared" si="9"/>
        <v>0</v>
      </c>
      <c r="O85" s="87"/>
      <c r="P85" s="20"/>
      <c r="Q85" s="20"/>
      <c r="R85" s="20"/>
      <c r="S85" s="21"/>
    </row>
    <row r="86" spans="4:19" x14ac:dyDescent="0.25">
      <c r="D86" s="19"/>
      <c r="E86" s="20"/>
      <c r="F86" s="20"/>
      <c r="G86" s="20"/>
      <c r="H86" s="71" t="s">
        <v>69</v>
      </c>
      <c r="I86" s="68"/>
      <c r="J86" s="4" t="s">
        <v>9</v>
      </c>
      <c r="K86" s="32">
        <v>5000</v>
      </c>
      <c r="L86" s="29">
        <f>SUM($K$79:K85)+$L$75+IF(H86="before 5th",K86,0)</f>
        <v>980973.65838573163</v>
      </c>
      <c r="M86" s="6">
        <f t="shared" si="8"/>
        <v>7112.0590232965542</v>
      </c>
      <c r="N86" s="83">
        <f t="shared" si="9"/>
        <v>0</v>
      </c>
      <c r="O86" s="87"/>
      <c r="P86" s="20"/>
      <c r="Q86" s="20"/>
      <c r="R86" s="20"/>
      <c r="S86" s="21"/>
    </row>
    <row r="87" spans="4:19" x14ac:dyDescent="0.25">
      <c r="D87" s="19"/>
      <c r="E87" s="20"/>
      <c r="F87" s="20"/>
      <c r="G87" s="20"/>
      <c r="H87" s="71" t="s">
        <v>69</v>
      </c>
      <c r="I87" s="68"/>
      <c r="J87" s="4" t="s">
        <v>10</v>
      </c>
      <c r="K87" s="32">
        <v>5000</v>
      </c>
      <c r="L87" s="29">
        <f>SUM($K$79:K86)+$L$75+IF(H87="before 5th",K87,0)</f>
        <v>985973.65838573163</v>
      </c>
      <c r="M87" s="6">
        <f t="shared" si="8"/>
        <v>7148.3090232965542</v>
      </c>
      <c r="N87" s="83">
        <f t="shared" si="9"/>
        <v>0</v>
      </c>
      <c r="O87" s="87"/>
      <c r="P87" s="20"/>
      <c r="Q87" s="20"/>
      <c r="R87" s="20"/>
      <c r="S87" s="21"/>
    </row>
    <row r="88" spans="4:19" x14ac:dyDescent="0.25">
      <c r="D88" s="19"/>
      <c r="E88" s="20"/>
      <c r="F88" s="20"/>
      <c r="G88" s="20"/>
      <c r="H88" s="71" t="s">
        <v>69</v>
      </c>
      <c r="I88" s="68"/>
      <c r="J88" s="4" t="s">
        <v>11</v>
      </c>
      <c r="K88" s="32">
        <v>5000</v>
      </c>
      <c r="L88" s="29">
        <f>SUM($K$79:K87)+$L$75+IF(H88="before 5th",K88,0)</f>
        <v>990973.65838573163</v>
      </c>
      <c r="M88" s="6">
        <f t="shared" si="8"/>
        <v>7184.5590232965542</v>
      </c>
      <c r="N88" s="83">
        <f t="shared" si="9"/>
        <v>0</v>
      </c>
      <c r="O88" s="87"/>
      <c r="P88" s="68"/>
      <c r="Q88" s="68"/>
      <c r="R88" s="20"/>
      <c r="S88" s="21"/>
    </row>
    <row r="89" spans="4:19" x14ac:dyDescent="0.25">
      <c r="D89" s="19"/>
      <c r="E89" s="20"/>
      <c r="F89" s="20"/>
      <c r="G89" s="20"/>
      <c r="H89" s="71" t="s">
        <v>69</v>
      </c>
      <c r="I89" s="68"/>
      <c r="J89" s="4" t="s">
        <v>12</v>
      </c>
      <c r="K89" s="32">
        <v>5000</v>
      </c>
      <c r="L89" s="29">
        <f>SUM($K$79:K88)+$L$75+IF(H89="before 5th",K89,0)</f>
        <v>995973.65838573163</v>
      </c>
      <c r="M89" s="6">
        <f t="shared" si="8"/>
        <v>7220.8090232965542</v>
      </c>
      <c r="N89" s="83">
        <f t="shared" si="9"/>
        <v>0</v>
      </c>
      <c r="O89" s="87"/>
      <c r="P89" s="68"/>
      <c r="Q89" s="68"/>
      <c r="R89" s="20"/>
      <c r="S89" s="21"/>
    </row>
    <row r="90" spans="4:19" x14ac:dyDescent="0.25">
      <c r="D90" s="19"/>
      <c r="E90" s="20"/>
      <c r="F90" s="20"/>
      <c r="G90" s="20"/>
      <c r="H90" s="71" t="s">
        <v>69</v>
      </c>
      <c r="I90" s="68"/>
      <c r="J90" s="4" t="s">
        <v>13</v>
      </c>
      <c r="K90" s="32">
        <v>5000</v>
      </c>
      <c r="L90" s="29">
        <f>SUM($K$79:K89)+$L$75+IF(H90="before 5th",K90,0)</f>
        <v>1000973.6583857316</v>
      </c>
      <c r="M90" s="6">
        <f t="shared" si="8"/>
        <v>7257.0590232965542</v>
      </c>
      <c r="N90" s="83">
        <f t="shared" si="9"/>
        <v>0</v>
      </c>
      <c r="O90" s="87"/>
      <c r="P90" s="68"/>
      <c r="Q90" s="68"/>
      <c r="R90" s="20"/>
      <c r="S90" s="21"/>
    </row>
    <row r="91" spans="4:19" x14ac:dyDescent="0.25">
      <c r="D91" s="19"/>
      <c r="E91" s="20"/>
      <c r="F91" s="20"/>
      <c r="G91" s="20"/>
      <c r="H91" s="20"/>
      <c r="I91" s="68"/>
      <c r="J91" s="7" t="s">
        <v>21</v>
      </c>
      <c r="K91" s="9"/>
      <c r="L91" s="9">
        <f>SUM(K79:K90)+SUM(M79:M90)+L75-N91</f>
        <v>1085665.8666652902</v>
      </c>
      <c r="M91" s="10"/>
      <c r="N91" s="68">
        <f>MAX(O79:O90)</f>
        <v>0</v>
      </c>
      <c r="O91" s="73"/>
      <c r="P91" s="20"/>
      <c r="Q91" s="20"/>
      <c r="R91" s="20"/>
      <c r="S91" s="21"/>
    </row>
    <row r="92" spans="4:19" ht="7.15" customHeight="1" x14ac:dyDescent="0.25">
      <c r="D92" s="98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99"/>
      <c r="P92" s="99"/>
      <c r="Q92" s="99"/>
      <c r="R92" s="99"/>
      <c r="S92" s="100"/>
    </row>
    <row r="93" spans="4:19" x14ac:dyDescent="0.25">
      <c r="D93" s="19"/>
      <c r="E93" s="20"/>
      <c r="F93" s="20"/>
      <c r="G93" s="20"/>
      <c r="H93" s="20"/>
      <c r="I93" s="68"/>
      <c r="J93" s="118" t="s">
        <v>80</v>
      </c>
      <c r="K93" s="119"/>
      <c r="L93" s="119"/>
      <c r="M93" s="120"/>
      <c r="N93" s="75"/>
      <c r="O93" s="90" t="s">
        <v>73</v>
      </c>
      <c r="P93" s="20"/>
      <c r="Q93" s="20"/>
      <c r="R93" s="20"/>
      <c r="S93" s="21"/>
    </row>
    <row r="94" spans="4:19" x14ac:dyDescent="0.25">
      <c r="D94" s="19"/>
      <c r="E94" s="20"/>
      <c r="F94" s="20"/>
      <c r="G94" s="20"/>
      <c r="H94" s="70" t="s">
        <v>68</v>
      </c>
      <c r="I94" s="68"/>
      <c r="J94" s="1" t="s">
        <v>1</v>
      </c>
      <c r="K94" s="2" t="s">
        <v>14</v>
      </c>
      <c r="L94" s="2" t="s">
        <v>0</v>
      </c>
      <c r="M94" s="3" t="s">
        <v>15</v>
      </c>
      <c r="N94" s="3"/>
      <c r="O94" s="86" t="s">
        <v>72</v>
      </c>
      <c r="P94" s="20" t="s">
        <v>38</v>
      </c>
      <c r="Q94" s="20"/>
      <c r="R94" s="20"/>
      <c r="S94" s="21"/>
    </row>
    <row r="95" spans="4:19" x14ac:dyDescent="0.25">
      <c r="D95" s="19"/>
      <c r="E95" s="20"/>
      <c r="F95" s="20"/>
      <c r="G95" s="20"/>
      <c r="H95" s="71" t="s">
        <v>69</v>
      </c>
      <c r="I95" s="68"/>
      <c r="J95" s="4" t="s">
        <v>2</v>
      </c>
      <c r="K95" s="32">
        <v>5000</v>
      </c>
      <c r="L95" s="29">
        <f>$L$91+IF(H95="before 5th",K95,0)</f>
        <v>1090665.8666652902</v>
      </c>
      <c r="M95" s="6">
        <f t="shared" ref="M95:M106" si="10">L95*$P$95/12</f>
        <v>7907.3275333233532</v>
      </c>
      <c r="N95" s="83">
        <f t="shared" ref="N95:N106" si="11">IF(O95=MAX($O$95:$O$106),O95,IF(N94=MAX($O$95:$O$106),N94,0))</f>
        <v>0</v>
      </c>
      <c r="O95" s="87"/>
      <c r="P95" s="88">
        <v>8.6999999999999994E-2</v>
      </c>
      <c r="Q95" s="20"/>
      <c r="R95" s="20"/>
      <c r="S95" s="21"/>
    </row>
    <row r="96" spans="4:19" x14ac:dyDescent="0.25">
      <c r="D96" s="19" t="str">
        <f>IF($M$9=0,"Withdrawal limit","")</f>
        <v>Withdrawal limit</v>
      </c>
      <c r="E96" s="20"/>
      <c r="F96" s="20">
        <f>60%*$L$91</f>
        <v>651399.51999917405</v>
      </c>
      <c r="G96" s="20"/>
      <c r="H96" s="71" t="s">
        <v>69</v>
      </c>
      <c r="I96" s="68"/>
      <c r="J96" s="4" t="s">
        <v>3</v>
      </c>
      <c r="K96" s="32">
        <v>5000</v>
      </c>
      <c r="L96" s="29">
        <f>SUM($K$95:K95)+$L$91+IF(H96="before 5th",K96,0)</f>
        <v>1095665.8666652902</v>
      </c>
      <c r="M96" s="6">
        <f t="shared" si="10"/>
        <v>7943.5775333233532</v>
      </c>
      <c r="N96" s="83">
        <f t="shared" si="11"/>
        <v>0</v>
      </c>
      <c r="O96" s="87"/>
      <c r="P96" s="20" t="s">
        <v>40</v>
      </c>
      <c r="Q96" s="20"/>
      <c r="R96" s="20"/>
      <c r="S96" s="21"/>
    </row>
    <row r="97" spans="4:19" x14ac:dyDescent="0.25">
      <c r="D97" s="19"/>
      <c r="E97" s="20"/>
      <c r="F97" s="20"/>
      <c r="G97" s="20"/>
      <c r="H97" s="71" t="s">
        <v>69</v>
      </c>
      <c r="I97" s="68"/>
      <c r="J97" s="4" t="s">
        <v>4</v>
      </c>
      <c r="K97" s="32">
        <v>5000</v>
      </c>
      <c r="L97" s="29">
        <f>SUM($K$95:K96)+$L$91+IF(H97="before 5th",K97,0)</f>
        <v>1100665.8666652902</v>
      </c>
      <c r="M97" s="6">
        <f t="shared" si="10"/>
        <v>7979.8275333233532</v>
      </c>
      <c r="N97" s="83">
        <f t="shared" si="11"/>
        <v>0</v>
      </c>
      <c r="O97" s="87"/>
      <c r="P97" s="89">
        <v>150000</v>
      </c>
      <c r="Q97" s="20"/>
      <c r="R97" s="20"/>
      <c r="S97" s="21"/>
    </row>
    <row r="98" spans="4:19" x14ac:dyDescent="0.25">
      <c r="D98" s="19"/>
      <c r="E98" s="20"/>
      <c r="F98" s="20"/>
      <c r="G98" s="20"/>
      <c r="H98" s="71" t="s">
        <v>69</v>
      </c>
      <c r="I98" s="68"/>
      <c r="J98" s="4" t="s">
        <v>5</v>
      </c>
      <c r="K98" s="32">
        <v>5000</v>
      </c>
      <c r="L98" s="29">
        <f>SUM($K$95:K97)+$L$91+IF(H98="before 5th",K98,0)</f>
        <v>1105665.8666652902</v>
      </c>
      <c r="M98" s="6">
        <f t="shared" si="10"/>
        <v>8016.0775333233532</v>
      </c>
      <c r="N98" s="83">
        <f t="shared" si="11"/>
        <v>0</v>
      </c>
      <c r="O98" s="87"/>
      <c r="P98" s="41" t="str">
        <f>IF(SUM(K95:K106)&gt;P97,"Warning: total investment exceeds allowed limit","")</f>
        <v/>
      </c>
      <c r="Q98" s="49"/>
      <c r="R98" s="49"/>
      <c r="S98" s="50"/>
    </row>
    <row r="99" spans="4:19" x14ac:dyDescent="0.25">
      <c r="D99" s="19"/>
      <c r="E99" s="20"/>
      <c r="F99" s="20"/>
      <c r="G99" s="20"/>
      <c r="H99" s="71" t="s">
        <v>69</v>
      </c>
      <c r="I99" s="68"/>
      <c r="J99" s="4" t="s">
        <v>6</v>
      </c>
      <c r="K99" s="32">
        <v>5000</v>
      </c>
      <c r="L99" s="29">
        <f>SUM($K$95:K98)+$L$91+IF(H99="before 5th",K99,0)</f>
        <v>1110665.8666652902</v>
      </c>
      <c r="M99" s="6">
        <f t="shared" si="10"/>
        <v>8052.3275333233532</v>
      </c>
      <c r="N99" s="83">
        <f t="shared" si="11"/>
        <v>0</v>
      </c>
      <c r="O99" s="87"/>
      <c r="P99" s="20"/>
      <c r="Q99" s="20"/>
      <c r="R99" s="20"/>
      <c r="S99" s="21"/>
    </row>
    <row r="100" spans="4:19" x14ac:dyDescent="0.25">
      <c r="D100" s="19"/>
      <c r="E100" s="20"/>
      <c r="F100" s="20"/>
      <c r="G100" s="20"/>
      <c r="H100" s="71" t="s">
        <v>69</v>
      </c>
      <c r="I100" s="68"/>
      <c r="J100" s="4" t="s">
        <v>7</v>
      </c>
      <c r="K100" s="32">
        <v>5000</v>
      </c>
      <c r="L100" s="29">
        <f>SUM($K$95:K99)+$L$91+IF(H100="before 5th",K100,0)</f>
        <v>1115665.8666652902</v>
      </c>
      <c r="M100" s="6">
        <f t="shared" si="10"/>
        <v>8088.5775333233532</v>
      </c>
      <c r="N100" s="83">
        <f t="shared" si="11"/>
        <v>0</v>
      </c>
      <c r="O100" s="87"/>
      <c r="P100" s="84" t="str">
        <f>IF(N107&gt;F96,"Withdrawal is above limit","")</f>
        <v/>
      </c>
      <c r="Q100" s="76"/>
      <c r="R100" s="76"/>
      <c r="S100" s="85"/>
    </row>
    <row r="101" spans="4:19" x14ac:dyDescent="0.25">
      <c r="D101" s="19"/>
      <c r="E101" s="20"/>
      <c r="F101" s="20"/>
      <c r="G101" s="20"/>
      <c r="H101" s="71" t="s">
        <v>69</v>
      </c>
      <c r="I101" s="68"/>
      <c r="J101" s="4" t="s">
        <v>8</v>
      </c>
      <c r="K101" s="32">
        <v>5000</v>
      </c>
      <c r="L101" s="29">
        <f>SUM($K$95:K100)+$L$91+IF(H101="before 5th",K101,0)</f>
        <v>1120665.8666652902</v>
      </c>
      <c r="M101" s="6">
        <f t="shared" si="10"/>
        <v>8124.8275333233532</v>
      </c>
      <c r="N101" s="83">
        <f t="shared" si="11"/>
        <v>0</v>
      </c>
      <c r="O101" s="87"/>
      <c r="P101" s="20"/>
      <c r="Q101" s="20"/>
      <c r="R101" s="20"/>
      <c r="S101" s="21"/>
    </row>
    <row r="102" spans="4:19" x14ac:dyDescent="0.25">
      <c r="D102" s="19"/>
      <c r="E102" s="20"/>
      <c r="F102" s="20"/>
      <c r="G102" s="20"/>
      <c r="H102" s="71" t="s">
        <v>69</v>
      </c>
      <c r="I102" s="68"/>
      <c r="J102" s="4" t="s">
        <v>9</v>
      </c>
      <c r="K102" s="32">
        <v>5000</v>
      </c>
      <c r="L102" s="29">
        <f>SUM($K$95:K101)+$L$91+IF(H102="before 5th",K102,0)</f>
        <v>1125665.8666652902</v>
      </c>
      <c r="M102" s="6">
        <f t="shared" si="10"/>
        <v>8161.0775333233532</v>
      </c>
      <c r="N102" s="83">
        <f t="shared" si="11"/>
        <v>0</v>
      </c>
      <c r="O102" s="87"/>
      <c r="P102" s="20"/>
      <c r="Q102" s="20"/>
      <c r="R102" s="20"/>
      <c r="S102" s="21"/>
    </row>
    <row r="103" spans="4:19" x14ac:dyDescent="0.25">
      <c r="D103" s="19"/>
      <c r="E103" s="20"/>
      <c r="F103" s="20"/>
      <c r="G103" s="20"/>
      <c r="H103" s="71" t="s">
        <v>69</v>
      </c>
      <c r="I103" s="68"/>
      <c r="J103" s="4" t="s">
        <v>10</v>
      </c>
      <c r="K103" s="32">
        <v>5000</v>
      </c>
      <c r="L103" s="29">
        <f>SUM($K$95:K102)+$L$91+IF(H103="before 5th",K103,0)</f>
        <v>1130665.8666652902</v>
      </c>
      <c r="M103" s="6">
        <f t="shared" si="10"/>
        <v>8197.3275333233523</v>
      </c>
      <c r="N103" s="83">
        <f t="shared" si="11"/>
        <v>0</v>
      </c>
      <c r="O103" s="87"/>
      <c r="P103" s="20"/>
      <c r="Q103" s="20"/>
      <c r="R103" s="20"/>
      <c r="S103" s="21"/>
    </row>
    <row r="104" spans="4:19" x14ac:dyDescent="0.25">
      <c r="D104" s="19"/>
      <c r="E104" s="20"/>
      <c r="F104" s="20"/>
      <c r="G104" s="20"/>
      <c r="H104" s="71" t="s">
        <v>69</v>
      </c>
      <c r="I104" s="68"/>
      <c r="J104" s="4" t="s">
        <v>11</v>
      </c>
      <c r="K104" s="32">
        <v>5000</v>
      </c>
      <c r="L104" s="29">
        <f>SUM($K$95:K103)+$L$91+IF(H104="before 5th",K104,0)</f>
        <v>1135665.8666652902</v>
      </c>
      <c r="M104" s="6">
        <f t="shared" si="10"/>
        <v>8233.5775333233523</v>
      </c>
      <c r="N104" s="83">
        <f t="shared" si="11"/>
        <v>0</v>
      </c>
      <c r="O104" s="87"/>
      <c r="P104" s="68"/>
      <c r="Q104" s="68"/>
      <c r="R104" s="20"/>
      <c r="S104" s="21"/>
    </row>
    <row r="105" spans="4:19" x14ac:dyDescent="0.25">
      <c r="D105" s="19"/>
      <c r="E105" s="20"/>
      <c r="F105" s="20"/>
      <c r="G105" s="20"/>
      <c r="H105" s="71" t="s">
        <v>69</v>
      </c>
      <c r="I105" s="68"/>
      <c r="J105" s="4" t="s">
        <v>12</v>
      </c>
      <c r="K105" s="32">
        <v>5000</v>
      </c>
      <c r="L105" s="29">
        <f>SUM($K$95:K104)+$L$91+IF(H105="before 5th",K105,0)</f>
        <v>1140665.8666652902</v>
      </c>
      <c r="M105" s="6">
        <f t="shared" si="10"/>
        <v>8269.8275333233523</v>
      </c>
      <c r="N105" s="83">
        <f t="shared" si="11"/>
        <v>0</v>
      </c>
      <c r="O105" s="87"/>
      <c r="P105" s="68"/>
      <c r="Q105" s="68"/>
      <c r="R105" s="20"/>
      <c r="S105" s="21"/>
    </row>
    <row r="106" spans="4:19" x14ac:dyDescent="0.25">
      <c r="D106" s="19"/>
      <c r="E106" s="20"/>
      <c r="F106" s="20"/>
      <c r="G106" s="20"/>
      <c r="H106" s="71" t="s">
        <v>69</v>
      </c>
      <c r="I106" s="68"/>
      <c r="J106" s="4" t="s">
        <v>13</v>
      </c>
      <c r="K106" s="32">
        <v>5000</v>
      </c>
      <c r="L106" s="29">
        <f>SUM($K$95:K105)+$L$91+IF(H106="before 5th",K106,0)</f>
        <v>1145665.8666652902</v>
      </c>
      <c r="M106" s="6">
        <f t="shared" si="10"/>
        <v>8306.0775333233523</v>
      </c>
      <c r="N106" s="83">
        <f t="shared" si="11"/>
        <v>0</v>
      </c>
      <c r="O106" s="87"/>
      <c r="P106" s="68"/>
      <c r="Q106" s="68"/>
      <c r="R106" s="20"/>
      <c r="S106" s="21"/>
    </row>
    <row r="107" spans="4:19" x14ac:dyDescent="0.25">
      <c r="D107" s="19"/>
      <c r="E107" s="20"/>
      <c r="F107" s="20"/>
      <c r="G107" s="20"/>
      <c r="H107" s="20"/>
      <c r="I107" s="68"/>
      <c r="J107" s="7" t="s">
        <v>21</v>
      </c>
      <c r="K107" s="9"/>
      <c r="L107" s="9">
        <f>SUM(K95:K106)+SUM(M95:M106)+L91-N107</f>
        <v>1242946.2970651705</v>
      </c>
      <c r="M107" s="10"/>
      <c r="N107" s="68">
        <f>MAX(O95:O106)</f>
        <v>0</v>
      </c>
      <c r="O107" s="73"/>
      <c r="P107" s="20"/>
      <c r="Q107" s="20"/>
      <c r="R107" s="20"/>
      <c r="S107" s="21"/>
    </row>
    <row r="108" spans="4:19" x14ac:dyDescent="0.25">
      <c r="D108" s="19"/>
      <c r="E108" s="20"/>
      <c r="F108" s="20"/>
      <c r="G108" s="20"/>
      <c r="H108" s="20"/>
      <c r="I108" s="68"/>
      <c r="J108" s="20"/>
      <c r="K108" s="20"/>
      <c r="L108" s="20"/>
      <c r="M108" s="20"/>
      <c r="N108" s="20"/>
      <c r="O108" s="20"/>
      <c r="P108" s="20"/>
      <c r="Q108" s="20"/>
      <c r="R108" s="20"/>
      <c r="S108" s="21"/>
    </row>
    <row r="109" spans="4:19" x14ac:dyDescent="0.25">
      <c r="D109" s="19"/>
      <c r="E109" s="20"/>
      <c r="F109" s="20"/>
      <c r="G109" s="20"/>
      <c r="H109" s="20"/>
      <c r="I109" s="68"/>
      <c r="J109" s="118" t="s">
        <v>81</v>
      </c>
      <c r="K109" s="119"/>
      <c r="L109" s="119"/>
      <c r="M109" s="120"/>
      <c r="N109" s="75"/>
      <c r="O109" s="90" t="s">
        <v>73</v>
      </c>
      <c r="P109" s="20"/>
      <c r="Q109" s="20"/>
      <c r="R109" s="20"/>
      <c r="S109" s="21"/>
    </row>
    <row r="110" spans="4:19" x14ac:dyDescent="0.25">
      <c r="D110" s="19"/>
      <c r="E110" s="20"/>
      <c r="F110" s="20"/>
      <c r="G110" s="20"/>
      <c r="H110" s="70" t="s">
        <v>68</v>
      </c>
      <c r="I110" s="68"/>
      <c r="J110" s="1" t="s">
        <v>1</v>
      </c>
      <c r="K110" s="2" t="s">
        <v>14</v>
      </c>
      <c r="L110" s="2" t="s">
        <v>0</v>
      </c>
      <c r="M110" s="3" t="s">
        <v>15</v>
      </c>
      <c r="N110" s="3"/>
      <c r="O110" s="86" t="s">
        <v>72</v>
      </c>
      <c r="P110" s="20" t="s">
        <v>38</v>
      </c>
      <c r="Q110" s="20"/>
      <c r="R110" s="20"/>
      <c r="S110" s="21"/>
    </row>
    <row r="111" spans="4:19" x14ac:dyDescent="0.25">
      <c r="D111" s="19"/>
      <c r="E111" s="20"/>
      <c r="F111" s="20"/>
      <c r="G111" s="20"/>
      <c r="H111" s="71" t="s">
        <v>69</v>
      </c>
      <c r="I111" s="68"/>
      <c r="J111" s="4" t="s">
        <v>2</v>
      </c>
      <c r="K111" s="32">
        <v>5000</v>
      </c>
      <c r="L111" s="29">
        <f>$L$107+IF(H111="before 5th",K111,0)</f>
        <v>1247946.2970651705</v>
      </c>
      <c r="M111" s="6">
        <f t="shared" ref="M111:M122" si="12">L111*$P$111/12</f>
        <v>9047.6106537224859</v>
      </c>
      <c r="N111" s="83">
        <f t="shared" ref="N111:N122" si="13">IF(O111=MAX($O$111:$O$122),O111,IF(N110=MAX($O$111:$O$122),N110,0))</f>
        <v>0</v>
      </c>
      <c r="O111" s="87"/>
      <c r="P111" s="88">
        <v>8.6999999999999994E-2</v>
      </c>
      <c r="Q111" s="20"/>
      <c r="R111" s="20"/>
      <c r="S111" s="21"/>
    </row>
    <row r="112" spans="4:19" x14ac:dyDescent="0.25">
      <c r="D112" s="19" t="str">
        <f>IF($M$9=0,"Withdrawal limit","")</f>
        <v>Withdrawal limit</v>
      </c>
      <c r="E112" s="20"/>
      <c r="F112" s="20">
        <f>60%*$L$91</f>
        <v>651399.51999917405</v>
      </c>
      <c r="G112" s="20"/>
      <c r="H112" s="71" t="s">
        <v>69</v>
      </c>
      <c r="I112" s="68"/>
      <c r="J112" s="4" t="s">
        <v>3</v>
      </c>
      <c r="K112" s="32">
        <v>5000</v>
      </c>
      <c r="L112" s="29">
        <f>SUM($K$111:K111)+$L$107+IF(H112="before 5th",K112,0)</f>
        <v>1252946.2970651705</v>
      </c>
      <c r="M112" s="6">
        <f t="shared" si="12"/>
        <v>9083.8606537224859</v>
      </c>
      <c r="N112" s="83">
        <f t="shared" si="13"/>
        <v>0</v>
      </c>
      <c r="O112" s="87"/>
      <c r="P112" s="20" t="s">
        <v>40</v>
      </c>
      <c r="Q112" s="20"/>
      <c r="R112" s="20"/>
      <c r="S112" s="21"/>
    </row>
    <row r="113" spans="4:19" x14ac:dyDescent="0.25">
      <c r="D113" s="19"/>
      <c r="E113" s="20"/>
      <c r="F113" s="20"/>
      <c r="G113" s="20"/>
      <c r="H113" s="71" t="s">
        <v>69</v>
      </c>
      <c r="I113" s="68"/>
      <c r="J113" s="4" t="s">
        <v>4</v>
      </c>
      <c r="K113" s="32">
        <v>5000</v>
      </c>
      <c r="L113" s="29">
        <f>SUM($K$111:K112)+$L$107+IF(H113="before 5th",K113,0)</f>
        <v>1257946.2970651705</v>
      </c>
      <c r="M113" s="6">
        <f t="shared" si="12"/>
        <v>9120.1106537224859</v>
      </c>
      <c r="N113" s="83">
        <f t="shared" si="13"/>
        <v>0</v>
      </c>
      <c r="O113" s="87"/>
      <c r="P113" s="89">
        <v>150000</v>
      </c>
      <c r="Q113" s="20"/>
      <c r="R113" s="20"/>
      <c r="S113" s="21"/>
    </row>
    <row r="114" spans="4:19" x14ac:dyDescent="0.25">
      <c r="D114" s="19"/>
      <c r="E114" s="20"/>
      <c r="F114" s="20"/>
      <c r="G114" s="20"/>
      <c r="H114" s="71" t="s">
        <v>69</v>
      </c>
      <c r="I114" s="68"/>
      <c r="J114" s="4" t="s">
        <v>5</v>
      </c>
      <c r="K114" s="32">
        <v>5000</v>
      </c>
      <c r="L114" s="29">
        <f>SUM($K$111:K113)+$L$107+IF(H114="before 5th",K114,0)</f>
        <v>1262946.2970651705</v>
      </c>
      <c r="M114" s="6">
        <f t="shared" si="12"/>
        <v>9156.3606537224859</v>
      </c>
      <c r="N114" s="83">
        <f t="shared" si="13"/>
        <v>0</v>
      </c>
      <c r="O114" s="87"/>
      <c r="P114" s="41" t="str">
        <f>IF(SUM(K111:K122)&gt;P113,"Warning: total investment exceeds allowed limit","")</f>
        <v/>
      </c>
      <c r="Q114" s="49"/>
      <c r="R114" s="49"/>
      <c r="S114" s="50"/>
    </row>
    <row r="115" spans="4:19" x14ac:dyDescent="0.25">
      <c r="D115" s="19"/>
      <c r="E115" s="20"/>
      <c r="F115" s="20"/>
      <c r="G115" s="20"/>
      <c r="H115" s="71" t="s">
        <v>69</v>
      </c>
      <c r="I115" s="68"/>
      <c r="J115" s="4" t="s">
        <v>6</v>
      </c>
      <c r="K115" s="32">
        <v>5000</v>
      </c>
      <c r="L115" s="29">
        <f>SUM($K$111:K114)+$L$107+IF(H115="before 5th",K115,0)</f>
        <v>1267946.2970651705</v>
      </c>
      <c r="M115" s="6">
        <f t="shared" si="12"/>
        <v>9192.6106537224859</v>
      </c>
      <c r="N115" s="83">
        <f t="shared" si="13"/>
        <v>0</v>
      </c>
      <c r="O115" s="87"/>
      <c r="P115" s="20"/>
      <c r="Q115" s="20"/>
      <c r="R115" s="20"/>
      <c r="S115" s="21"/>
    </row>
    <row r="116" spans="4:19" x14ac:dyDescent="0.25">
      <c r="D116" s="19"/>
      <c r="E116" s="20"/>
      <c r="F116" s="20"/>
      <c r="G116" s="20"/>
      <c r="H116" s="71" t="s">
        <v>69</v>
      </c>
      <c r="I116" s="68"/>
      <c r="J116" s="4" t="s">
        <v>7</v>
      </c>
      <c r="K116" s="32">
        <v>5000</v>
      </c>
      <c r="L116" s="29">
        <f>SUM($K$111:K115)+$L$107+IF(H116="before 5th",K116,0)</f>
        <v>1272946.2970651705</v>
      </c>
      <c r="M116" s="6">
        <f t="shared" si="12"/>
        <v>9228.8606537224859</v>
      </c>
      <c r="N116" s="83">
        <f t="shared" si="13"/>
        <v>0</v>
      </c>
      <c r="O116" s="87"/>
      <c r="P116" s="84" t="str">
        <f>IF(N123&gt;F112,"Withdrawal is above limit","")</f>
        <v/>
      </c>
      <c r="Q116" s="76"/>
      <c r="R116" s="76"/>
      <c r="S116" s="85"/>
    </row>
    <row r="117" spans="4:19" x14ac:dyDescent="0.25">
      <c r="D117" s="19"/>
      <c r="E117" s="20"/>
      <c r="F117" s="20"/>
      <c r="G117" s="20"/>
      <c r="H117" s="71" t="s">
        <v>69</v>
      </c>
      <c r="I117" s="68"/>
      <c r="J117" s="4" t="s">
        <v>8</v>
      </c>
      <c r="K117" s="32">
        <v>5000</v>
      </c>
      <c r="L117" s="29">
        <f>SUM($K$111:K116)+$L$107+IF(H117="before 5th",K117,0)</f>
        <v>1277946.2970651705</v>
      </c>
      <c r="M117" s="6">
        <f t="shared" si="12"/>
        <v>9265.1106537224859</v>
      </c>
      <c r="N117" s="83">
        <f t="shared" si="13"/>
        <v>0</v>
      </c>
      <c r="O117" s="87"/>
      <c r="P117" s="20"/>
      <c r="Q117" s="20"/>
      <c r="R117" s="20"/>
      <c r="S117" s="21"/>
    </row>
    <row r="118" spans="4:19" x14ac:dyDescent="0.25">
      <c r="D118" s="19"/>
      <c r="E118" s="20"/>
      <c r="F118" s="20"/>
      <c r="G118" s="20"/>
      <c r="H118" s="71" t="s">
        <v>69</v>
      </c>
      <c r="I118" s="68"/>
      <c r="J118" s="4" t="s">
        <v>9</v>
      </c>
      <c r="K118" s="32">
        <v>5000</v>
      </c>
      <c r="L118" s="29">
        <f>SUM($K$111:K117)+$L$107+IF(H118="before 5th",K118,0)</f>
        <v>1282946.2970651705</v>
      </c>
      <c r="M118" s="6">
        <f t="shared" si="12"/>
        <v>9301.3606537224859</v>
      </c>
      <c r="N118" s="83">
        <f t="shared" si="13"/>
        <v>0</v>
      </c>
      <c r="O118" s="87"/>
      <c r="P118" s="20"/>
      <c r="Q118" s="20"/>
      <c r="R118" s="20"/>
      <c r="S118" s="21"/>
    </row>
    <row r="119" spans="4:19" x14ac:dyDescent="0.25">
      <c r="D119" s="19"/>
      <c r="E119" s="20"/>
      <c r="F119" s="20"/>
      <c r="G119" s="20"/>
      <c r="H119" s="71" t="s">
        <v>69</v>
      </c>
      <c r="I119" s="68"/>
      <c r="J119" s="4" t="s">
        <v>10</v>
      </c>
      <c r="K119" s="32">
        <v>5000</v>
      </c>
      <c r="L119" s="29">
        <f>SUM($K$111:K118)+$L$107+IF(H119="before 5th",K119,0)</f>
        <v>1287946.2970651705</v>
      </c>
      <c r="M119" s="6">
        <f t="shared" si="12"/>
        <v>9337.6106537224859</v>
      </c>
      <c r="N119" s="83">
        <f t="shared" si="13"/>
        <v>0</v>
      </c>
      <c r="O119" s="87"/>
      <c r="P119" s="20"/>
      <c r="Q119" s="20"/>
      <c r="R119" s="20"/>
      <c r="S119" s="21"/>
    </row>
    <row r="120" spans="4:19" x14ac:dyDescent="0.25">
      <c r="D120" s="19"/>
      <c r="E120" s="20"/>
      <c r="F120" s="20"/>
      <c r="G120" s="20"/>
      <c r="H120" s="71" t="s">
        <v>69</v>
      </c>
      <c r="I120" s="68"/>
      <c r="J120" s="4" t="s">
        <v>11</v>
      </c>
      <c r="K120" s="32">
        <v>5000</v>
      </c>
      <c r="L120" s="29">
        <f>SUM($K$111:K119)+$L$107+IF(H120="before 5th",K120,0)</f>
        <v>1292946.2970651705</v>
      </c>
      <c r="M120" s="6">
        <f t="shared" si="12"/>
        <v>9373.8606537224859</v>
      </c>
      <c r="N120" s="83">
        <f t="shared" si="13"/>
        <v>0</v>
      </c>
      <c r="O120" s="87"/>
      <c r="P120" s="68"/>
      <c r="Q120" s="68"/>
      <c r="R120" s="20"/>
      <c r="S120" s="21"/>
    </row>
    <row r="121" spans="4:19" x14ac:dyDescent="0.25">
      <c r="D121" s="19"/>
      <c r="E121" s="20"/>
      <c r="F121" s="20"/>
      <c r="G121" s="20"/>
      <c r="H121" s="71" t="s">
        <v>69</v>
      </c>
      <c r="I121" s="68"/>
      <c r="J121" s="4" t="s">
        <v>12</v>
      </c>
      <c r="K121" s="32">
        <v>5000</v>
      </c>
      <c r="L121" s="29">
        <f>SUM($K$111:K120)+$L$107+IF(H121="before 5th",K121,0)</f>
        <v>1297946.2970651705</v>
      </c>
      <c r="M121" s="6">
        <f t="shared" si="12"/>
        <v>9410.1106537224859</v>
      </c>
      <c r="N121" s="83">
        <f t="shared" si="13"/>
        <v>0</v>
      </c>
      <c r="O121" s="87"/>
      <c r="P121" s="68"/>
      <c r="Q121" s="68"/>
      <c r="R121" s="20"/>
      <c r="S121" s="21"/>
    </row>
    <row r="122" spans="4:19" x14ac:dyDescent="0.25">
      <c r="D122" s="19"/>
      <c r="E122" s="20"/>
      <c r="F122" s="20"/>
      <c r="G122" s="20"/>
      <c r="H122" s="71" t="s">
        <v>69</v>
      </c>
      <c r="I122" s="68"/>
      <c r="J122" s="4" t="s">
        <v>13</v>
      </c>
      <c r="K122" s="32">
        <v>5000</v>
      </c>
      <c r="L122" s="29">
        <f>SUM($K$111:K121)+$L$107+IF(H122="before 5th",K122,0)</f>
        <v>1302946.2970651705</v>
      </c>
      <c r="M122" s="6">
        <f t="shared" si="12"/>
        <v>9446.3606537224859</v>
      </c>
      <c r="N122" s="83">
        <f t="shared" si="13"/>
        <v>0</v>
      </c>
      <c r="O122" s="87"/>
      <c r="P122" s="68"/>
      <c r="Q122" s="68"/>
      <c r="R122" s="20"/>
      <c r="S122" s="21"/>
    </row>
    <row r="123" spans="4:19" x14ac:dyDescent="0.25">
      <c r="D123" s="19"/>
      <c r="E123" s="20"/>
      <c r="F123" s="20"/>
      <c r="G123" s="20"/>
      <c r="H123" s="20"/>
      <c r="I123" s="68"/>
      <c r="J123" s="7" t="s">
        <v>21</v>
      </c>
      <c r="K123" s="9"/>
      <c r="L123" s="9">
        <f>SUM(K111:K122)+SUM(M111:M122)+L107-N123</f>
        <v>1413910.1249098403</v>
      </c>
      <c r="M123" s="10"/>
      <c r="N123" s="68">
        <f>MAX(O111:O122)</f>
        <v>0</v>
      </c>
      <c r="O123" s="73"/>
      <c r="P123" s="20"/>
      <c r="Q123" s="20"/>
      <c r="R123" s="20"/>
      <c r="S123" s="21"/>
    </row>
    <row r="124" spans="4:19" x14ac:dyDescent="0.25">
      <c r="D124" s="19"/>
      <c r="E124" s="20"/>
      <c r="F124" s="20"/>
      <c r="G124" s="20"/>
      <c r="H124" s="20"/>
      <c r="I124" s="68"/>
      <c r="J124" s="20"/>
      <c r="K124" s="20"/>
      <c r="L124" s="20"/>
      <c r="M124" s="20"/>
      <c r="N124" s="20"/>
      <c r="O124" s="20"/>
      <c r="P124" s="20"/>
      <c r="Q124" s="20"/>
      <c r="R124" s="20"/>
      <c r="S124" s="21"/>
    </row>
    <row r="125" spans="4:19" x14ac:dyDescent="0.25">
      <c r="D125" s="19"/>
      <c r="E125" s="20"/>
      <c r="F125" s="20"/>
      <c r="G125" s="20"/>
      <c r="H125" s="20"/>
      <c r="I125" s="68"/>
      <c r="J125" s="118" t="s">
        <v>82</v>
      </c>
      <c r="K125" s="119"/>
      <c r="L125" s="119"/>
      <c r="M125" s="120"/>
      <c r="N125" s="75"/>
      <c r="O125" s="90" t="s">
        <v>73</v>
      </c>
      <c r="P125" s="20"/>
      <c r="Q125" s="20"/>
      <c r="R125" s="20"/>
      <c r="S125" s="21"/>
    </row>
    <row r="126" spans="4:19" x14ac:dyDescent="0.25">
      <c r="D126" s="19"/>
      <c r="E126" s="20"/>
      <c r="F126" s="20"/>
      <c r="G126" s="20"/>
      <c r="H126" s="70" t="s">
        <v>68</v>
      </c>
      <c r="I126" s="68"/>
      <c r="J126" s="1" t="s">
        <v>1</v>
      </c>
      <c r="K126" s="2" t="s">
        <v>14</v>
      </c>
      <c r="L126" s="2" t="s">
        <v>0</v>
      </c>
      <c r="M126" s="3" t="s">
        <v>15</v>
      </c>
      <c r="N126" s="3"/>
      <c r="O126" s="86" t="s">
        <v>72</v>
      </c>
      <c r="P126" s="20" t="s">
        <v>38</v>
      </c>
      <c r="Q126" s="20"/>
      <c r="R126" s="20"/>
      <c r="S126" s="21"/>
    </row>
    <row r="127" spans="4:19" x14ac:dyDescent="0.25">
      <c r="D127" s="19"/>
      <c r="E127" s="20"/>
      <c r="F127" s="20"/>
      <c r="G127" s="20"/>
      <c r="H127" s="71" t="s">
        <v>69</v>
      </c>
      <c r="I127" s="68"/>
      <c r="J127" s="4" t="s">
        <v>2</v>
      </c>
      <c r="K127" s="32">
        <v>5000</v>
      </c>
      <c r="L127" s="29">
        <f>$L$123+IF(H127="before 5th",K127,0)</f>
        <v>1418910.1249098403</v>
      </c>
      <c r="M127" s="6">
        <f t="shared" ref="M127:M138" si="14">L127*$P$127/12</f>
        <v>10287.098405596342</v>
      </c>
      <c r="N127" s="83">
        <f t="shared" ref="N127:N138" si="15">IF(O127=MAX($O$127:$O$138),O127,IF(N126=MAX($O$127:$O$138),N126,0))</f>
        <v>0</v>
      </c>
      <c r="O127" s="87"/>
      <c r="P127" s="88">
        <v>8.6999999999999994E-2</v>
      </c>
      <c r="Q127" s="20"/>
      <c r="R127" s="20"/>
      <c r="S127" s="21"/>
    </row>
    <row r="128" spans="4:19" x14ac:dyDescent="0.25">
      <c r="D128" s="19" t="str">
        <f>IF($M$9=0,"Withdrawal limit","")</f>
        <v>Withdrawal limit</v>
      </c>
      <c r="E128" s="20"/>
      <c r="F128" s="20">
        <f>60%*$L$91</f>
        <v>651399.51999917405</v>
      </c>
      <c r="G128" s="20"/>
      <c r="H128" s="71" t="s">
        <v>69</v>
      </c>
      <c r="I128" s="68"/>
      <c r="J128" s="4" t="s">
        <v>3</v>
      </c>
      <c r="K128" s="32">
        <v>5000</v>
      </c>
      <c r="L128" s="29">
        <f>SUM($K$127:K127)+$L$123+IF(H128="before 5th",K128,0)</f>
        <v>1423910.1249098403</v>
      </c>
      <c r="M128" s="6">
        <f t="shared" si="14"/>
        <v>10323.348405596342</v>
      </c>
      <c r="N128" s="83">
        <f t="shared" si="15"/>
        <v>0</v>
      </c>
      <c r="O128" s="87"/>
      <c r="P128" s="20" t="s">
        <v>40</v>
      </c>
      <c r="Q128" s="20"/>
      <c r="R128" s="20"/>
      <c r="S128" s="21"/>
    </row>
    <row r="129" spans="4:19" x14ac:dyDescent="0.25">
      <c r="D129" s="19"/>
      <c r="E129" s="20"/>
      <c r="F129" s="20"/>
      <c r="G129" s="20"/>
      <c r="H129" s="71" t="s">
        <v>69</v>
      </c>
      <c r="I129" s="68"/>
      <c r="J129" s="4" t="s">
        <v>4</v>
      </c>
      <c r="K129" s="32">
        <v>5000</v>
      </c>
      <c r="L129" s="29">
        <f>SUM($K$127:K128)+$L$123+IF(H129="before 5th",K129,0)</f>
        <v>1428910.1249098403</v>
      </c>
      <c r="M129" s="6">
        <f t="shared" si="14"/>
        <v>10359.598405596342</v>
      </c>
      <c r="N129" s="83">
        <f t="shared" si="15"/>
        <v>0</v>
      </c>
      <c r="O129" s="87"/>
      <c r="P129" s="89">
        <v>150000</v>
      </c>
      <c r="Q129" s="20"/>
      <c r="R129" s="20"/>
      <c r="S129" s="21"/>
    </row>
    <row r="130" spans="4:19" x14ac:dyDescent="0.25">
      <c r="D130" s="19"/>
      <c r="E130" s="20"/>
      <c r="F130" s="20"/>
      <c r="G130" s="20"/>
      <c r="H130" s="71" t="s">
        <v>69</v>
      </c>
      <c r="I130" s="68"/>
      <c r="J130" s="4" t="s">
        <v>5</v>
      </c>
      <c r="K130" s="32">
        <v>5000</v>
      </c>
      <c r="L130" s="29">
        <f>SUM($K$127:K129)+$L$123+IF(H130="before 5th",K130,0)</f>
        <v>1433910.1249098403</v>
      </c>
      <c r="M130" s="6">
        <f t="shared" si="14"/>
        <v>10395.848405596342</v>
      </c>
      <c r="N130" s="83">
        <f t="shared" si="15"/>
        <v>0</v>
      </c>
      <c r="O130" s="87"/>
      <c r="P130" s="41" t="str">
        <f>IF(SUM(K127:K138)&gt;P129,"Warning: total investment exceeds allowed limit","")</f>
        <v/>
      </c>
      <c r="Q130" s="49"/>
      <c r="R130" s="49"/>
      <c r="S130" s="50"/>
    </row>
    <row r="131" spans="4:19" x14ac:dyDescent="0.25">
      <c r="D131" s="19"/>
      <c r="E131" s="20"/>
      <c r="F131" s="20"/>
      <c r="G131" s="20"/>
      <c r="H131" s="71" t="s">
        <v>69</v>
      </c>
      <c r="I131" s="68"/>
      <c r="J131" s="4" t="s">
        <v>6</v>
      </c>
      <c r="K131" s="32">
        <v>5000</v>
      </c>
      <c r="L131" s="29">
        <f>SUM($K$127:K130)+$L$123+IF(H131="before 5th",K131,0)</f>
        <v>1438910.1249098403</v>
      </c>
      <c r="M131" s="6">
        <f t="shared" si="14"/>
        <v>10432.098405596342</v>
      </c>
      <c r="N131" s="83">
        <f t="shared" si="15"/>
        <v>0</v>
      </c>
      <c r="O131" s="87"/>
      <c r="P131" s="20"/>
      <c r="Q131" s="20"/>
      <c r="R131" s="20"/>
      <c r="S131" s="21"/>
    </row>
    <row r="132" spans="4:19" x14ac:dyDescent="0.25">
      <c r="D132" s="19"/>
      <c r="E132" s="20"/>
      <c r="F132" s="20"/>
      <c r="G132" s="20"/>
      <c r="H132" s="71" t="s">
        <v>69</v>
      </c>
      <c r="I132" s="68"/>
      <c r="J132" s="4" t="s">
        <v>7</v>
      </c>
      <c r="K132" s="32">
        <v>5000</v>
      </c>
      <c r="L132" s="29">
        <f>SUM($K$127:K131)+$L$123+IF(H132="before 5th",K132,0)</f>
        <v>1443910.1249098403</v>
      </c>
      <c r="M132" s="6">
        <f t="shared" si="14"/>
        <v>10468.348405596342</v>
      </c>
      <c r="N132" s="83">
        <f t="shared" si="15"/>
        <v>0</v>
      </c>
      <c r="O132" s="87"/>
      <c r="P132" s="84" t="str">
        <f>IF(N139&gt;F128,"Withdrawal is above limit","")</f>
        <v/>
      </c>
      <c r="Q132" s="76"/>
      <c r="R132" s="76"/>
      <c r="S132" s="85"/>
    </row>
    <row r="133" spans="4:19" x14ac:dyDescent="0.25">
      <c r="D133" s="19"/>
      <c r="E133" s="20"/>
      <c r="F133" s="20"/>
      <c r="G133" s="20"/>
      <c r="H133" s="71" t="s">
        <v>69</v>
      </c>
      <c r="I133" s="68"/>
      <c r="J133" s="4" t="s">
        <v>8</v>
      </c>
      <c r="K133" s="32">
        <v>5000</v>
      </c>
      <c r="L133" s="29">
        <f>SUM($K$127:K132)+$L$123+IF(H133="before 5th",K133,0)</f>
        <v>1448910.1249098403</v>
      </c>
      <c r="M133" s="6">
        <f t="shared" si="14"/>
        <v>10504.598405596342</v>
      </c>
      <c r="N133" s="83">
        <f t="shared" si="15"/>
        <v>0</v>
      </c>
      <c r="O133" s="87"/>
      <c r="P133" s="20"/>
      <c r="Q133" s="20"/>
      <c r="R133" s="20"/>
      <c r="S133" s="21"/>
    </row>
    <row r="134" spans="4:19" x14ac:dyDescent="0.25">
      <c r="D134" s="19"/>
      <c r="E134" s="20"/>
      <c r="F134" s="20"/>
      <c r="G134" s="20"/>
      <c r="H134" s="71" t="s">
        <v>69</v>
      </c>
      <c r="I134" s="68"/>
      <c r="J134" s="4" t="s">
        <v>9</v>
      </c>
      <c r="K134" s="32">
        <v>5000</v>
      </c>
      <c r="L134" s="29">
        <f>SUM($K$127:K133)+$L$123+IF(H134="before 5th",K134,0)</f>
        <v>1453910.1249098403</v>
      </c>
      <c r="M134" s="6">
        <f t="shared" si="14"/>
        <v>10540.848405596342</v>
      </c>
      <c r="N134" s="83">
        <f t="shared" si="15"/>
        <v>0</v>
      </c>
      <c r="O134" s="87"/>
      <c r="P134" s="20"/>
      <c r="Q134" s="20"/>
      <c r="R134" s="20"/>
      <c r="S134" s="21"/>
    </row>
    <row r="135" spans="4:19" x14ac:dyDescent="0.25">
      <c r="D135" s="19"/>
      <c r="E135" s="20"/>
      <c r="F135" s="20"/>
      <c r="G135" s="20"/>
      <c r="H135" s="71" t="s">
        <v>69</v>
      </c>
      <c r="I135" s="68"/>
      <c r="J135" s="4" t="s">
        <v>10</v>
      </c>
      <c r="K135" s="32">
        <v>5000</v>
      </c>
      <c r="L135" s="29">
        <f>SUM($K$127:K134)+$L$123+IF(H135="before 5th",K135,0)</f>
        <v>1458910.1249098403</v>
      </c>
      <c r="M135" s="6">
        <f t="shared" si="14"/>
        <v>10577.098405596342</v>
      </c>
      <c r="N135" s="83">
        <f t="shared" si="15"/>
        <v>0</v>
      </c>
      <c r="O135" s="87"/>
      <c r="P135" s="20"/>
      <c r="Q135" s="20"/>
      <c r="R135" s="20"/>
      <c r="S135" s="21"/>
    </row>
    <row r="136" spans="4:19" x14ac:dyDescent="0.25">
      <c r="D136" s="19"/>
      <c r="E136" s="20"/>
      <c r="F136" s="20"/>
      <c r="G136" s="20"/>
      <c r="H136" s="71" t="s">
        <v>69</v>
      </c>
      <c r="I136" s="68"/>
      <c r="J136" s="4" t="s">
        <v>11</v>
      </c>
      <c r="K136" s="32">
        <v>5000</v>
      </c>
      <c r="L136" s="29">
        <f>SUM($K$127:K135)+$L$123+IF(H136="before 5th",K136,0)</f>
        <v>1463910.1249098403</v>
      </c>
      <c r="M136" s="6">
        <f t="shared" si="14"/>
        <v>10613.348405596342</v>
      </c>
      <c r="N136" s="83">
        <f t="shared" si="15"/>
        <v>0</v>
      </c>
      <c r="O136" s="87"/>
      <c r="P136" s="68"/>
      <c r="Q136" s="68"/>
      <c r="R136" s="20"/>
      <c r="S136" s="21"/>
    </row>
    <row r="137" spans="4:19" x14ac:dyDescent="0.25">
      <c r="D137" s="19"/>
      <c r="E137" s="20"/>
      <c r="F137" s="20"/>
      <c r="G137" s="20"/>
      <c r="H137" s="71" t="s">
        <v>69</v>
      </c>
      <c r="I137" s="68"/>
      <c r="J137" s="4" t="s">
        <v>12</v>
      </c>
      <c r="K137" s="32">
        <v>5000</v>
      </c>
      <c r="L137" s="29">
        <f>SUM($K$127:K136)+$L$123+IF(H137="before 5th",K137,0)</f>
        <v>1468910.1249098403</v>
      </c>
      <c r="M137" s="6">
        <f t="shared" si="14"/>
        <v>10649.598405596342</v>
      </c>
      <c r="N137" s="83">
        <f t="shared" si="15"/>
        <v>0</v>
      </c>
      <c r="O137" s="87"/>
      <c r="P137" s="68"/>
      <c r="Q137" s="68"/>
      <c r="R137" s="20"/>
      <c r="S137" s="21"/>
    </row>
    <row r="138" spans="4:19" x14ac:dyDescent="0.25">
      <c r="D138" s="19"/>
      <c r="E138" s="20"/>
      <c r="F138" s="20"/>
      <c r="G138" s="20"/>
      <c r="H138" s="71" t="s">
        <v>69</v>
      </c>
      <c r="I138" s="68"/>
      <c r="J138" s="4" t="s">
        <v>13</v>
      </c>
      <c r="K138" s="32">
        <v>5000</v>
      </c>
      <c r="L138" s="29">
        <f>SUM($K$127:K137)+$L$123+IF(H138="before 5th",K138,0)</f>
        <v>1473910.1249098403</v>
      </c>
      <c r="M138" s="6">
        <f t="shared" si="14"/>
        <v>10685.848405596342</v>
      </c>
      <c r="N138" s="83">
        <f t="shared" si="15"/>
        <v>0</v>
      </c>
      <c r="O138" s="87"/>
      <c r="P138" s="68"/>
      <c r="Q138" s="68"/>
      <c r="R138" s="20"/>
      <c r="S138" s="21"/>
    </row>
    <row r="139" spans="4:19" x14ac:dyDescent="0.25">
      <c r="D139" s="19"/>
      <c r="E139" s="20"/>
      <c r="F139" s="20"/>
      <c r="G139" s="20"/>
      <c r="H139" s="20"/>
      <c r="I139" s="68"/>
      <c r="J139" s="7" t="s">
        <v>21</v>
      </c>
      <c r="K139" s="9"/>
      <c r="L139" s="9">
        <f>SUM(K127:K138)+SUM(M127:M138)+L123-N139</f>
        <v>1599747.8057769963</v>
      </c>
      <c r="M139" s="10"/>
      <c r="N139" s="68">
        <f>MAX(O127:O138)</f>
        <v>0</v>
      </c>
      <c r="O139" s="73"/>
      <c r="P139" s="20"/>
      <c r="Q139" s="20"/>
      <c r="R139" s="20"/>
      <c r="S139" s="21"/>
    </row>
    <row r="140" spans="4:19" x14ac:dyDescent="0.25">
      <c r="D140" s="19"/>
      <c r="E140" s="20"/>
      <c r="F140" s="20"/>
      <c r="G140" s="20"/>
      <c r="H140" s="20"/>
      <c r="I140" s="68"/>
      <c r="J140" s="20"/>
      <c r="K140" s="20"/>
      <c r="L140" s="20"/>
      <c r="M140" s="20"/>
      <c r="N140" s="20"/>
      <c r="O140" s="20"/>
      <c r="P140" s="20"/>
      <c r="Q140" s="20"/>
      <c r="R140" s="20"/>
      <c r="S140" s="21"/>
    </row>
    <row r="141" spans="4:19" x14ac:dyDescent="0.25">
      <c r="D141" s="19"/>
      <c r="E141" s="20"/>
      <c r="F141" s="20"/>
      <c r="G141" s="20"/>
      <c r="H141" s="20"/>
      <c r="I141" s="68"/>
      <c r="J141" s="118" t="s">
        <v>83</v>
      </c>
      <c r="K141" s="119"/>
      <c r="L141" s="119"/>
      <c r="M141" s="120"/>
      <c r="N141" s="75"/>
      <c r="O141" s="90" t="s">
        <v>73</v>
      </c>
      <c r="P141" s="20"/>
      <c r="Q141" s="20"/>
      <c r="R141" s="20"/>
      <c r="S141" s="21"/>
    </row>
    <row r="142" spans="4:19" x14ac:dyDescent="0.25">
      <c r="D142" s="19"/>
      <c r="E142" s="20"/>
      <c r="F142" s="20"/>
      <c r="G142" s="20"/>
      <c r="H142" s="70" t="s">
        <v>68</v>
      </c>
      <c r="I142" s="68"/>
      <c r="J142" s="1" t="s">
        <v>1</v>
      </c>
      <c r="K142" s="2" t="s">
        <v>14</v>
      </c>
      <c r="L142" s="2" t="s">
        <v>0</v>
      </c>
      <c r="M142" s="3" t="s">
        <v>15</v>
      </c>
      <c r="N142" s="3"/>
      <c r="O142" s="86" t="s">
        <v>72</v>
      </c>
      <c r="P142" s="20" t="s">
        <v>38</v>
      </c>
      <c r="Q142" s="20"/>
      <c r="R142" s="20"/>
      <c r="S142" s="21"/>
    </row>
    <row r="143" spans="4:19" x14ac:dyDescent="0.25">
      <c r="D143" s="19"/>
      <c r="E143" s="20"/>
      <c r="F143" s="20"/>
      <c r="G143" s="20"/>
      <c r="H143" s="71" t="s">
        <v>69</v>
      </c>
      <c r="I143" s="68"/>
      <c r="J143" s="4" t="s">
        <v>2</v>
      </c>
      <c r="K143" s="32">
        <v>5000</v>
      </c>
      <c r="L143" s="29">
        <f>$L$139+IF(H143="before 5th",K143,0)</f>
        <v>1604747.8057769963</v>
      </c>
      <c r="M143" s="6">
        <f t="shared" ref="M143:M154" si="16">L143*$P$143/12</f>
        <v>11634.421591883221</v>
      </c>
      <c r="N143" s="83">
        <f t="shared" ref="N143:N154" si="17">IF(O143=MAX($O$143:$O$154),O143,IF(N142=MAX($O$143:$O$154),N142,0))</f>
        <v>0</v>
      </c>
      <c r="O143" s="87"/>
      <c r="P143" s="74">
        <v>8.6999999999999994E-2</v>
      </c>
      <c r="Q143" s="20"/>
      <c r="R143" s="20"/>
      <c r="S143" s="21"/>
    </row>
    <row r="144" spans="4:19" x14ac:dyDescent="0.25">
      <c r="D144" s="19" t="str">
        <f>IF($M$9=0,"Withdrawal limit","")</f>
        <v>Withdrawal limit</v>
      </c>
      <c r="E144" s="20"/>
      <c r="F144" s="20">
        <f>60%*$L$91</f>
        <v>651399.51999917405</v>
      </c>
      <c r="G144" s="20"/>
      <c r="H144" s="71" t="s">
        <v>69</v>
      </c>
      <c r="I144" s="68"/>
      <c r="J144" s="4" t="s">
        <v>3</v>
      </c>
      <c r="K144" s="32">
        <v>5000</v>
      </c>
      <c r="L144" s="29">
        <f>SUM($K$143:K143)+$L$139+IF(H144="before 5th",K144,0)</f>
        <v>1609747.8057769963</v>
      </c>
      <c r="M144" s="6">
        <f t="shared" si="16"/>
        <v>11670.671591883221</v>
      </c>
      <c r="N144" s="83">
        <f t="shared" si="17"/>
        <v>0</v>
      </c>
      <c r="O144" s="87"/>
      <c r="P144" s="20" t="s">
        <v>40</v>
      </c>
      <c r="Q144" s="20"/>
      <c r="R144" s="20"/>
      <c r="S144" s="21"/>
    </row>
    <row r="145" spans="4:19" x14ac:dyDescent="0.25">
      <c r="D145" s="19"/>
      <c r="E145" s="20"/>
      <c r="F145" s="20"/>
      <c r="G145" s="20"/>
      <c r="H145" s="71" t="s">
        <v>69</v>
      </c>
      <c r="I145" s="68"/>
      <c r="J145" s="4" t="s">
        <v>4</v>
      </c>
      <c r="K145" s="32">
        <v>5000</v>
      </c>
      <c r="L145" s="29">
        <f>SUM($K$143:K144)+$L$139+IF(H145="before 5th",K145,0)</f>
        <v>1614747.8057769963</v>
      </c>
      <c r="M145" s="6">
        <f t="shared" si="16"/>
        <v>11706.921591883221</v>
      </c>
      <c r="N145" s="83">
        <f t="shared" si="17"/>
        <v>0</v>
      </c>
      <c r="O145" s="87"/>
      <c r="P145" s="54">
        <v>150000</v>
      </c>
      <c r="Q145" s="20"/>
      <c r="R145" s="20"/>
      <c r="S145" s="21"/>
    </row>
    <row r="146" spans="4:19" x14ac:dyDescent="0.25">
      <c r="D146" s="19"/>
      <c r="E146" s="20"/>
      <c r="F146" s="20"/>
      <c r="G146" s="20"/>
      <c r="H146" s="71" t="s">
        <v>69</v>
      </c>
      <c r="I146" s="68"/>
      <c r="J146" s="4" t="s">
        <v>5</v>
      </c>
      <c r="K146" s="32">
        <v>5000</v>
      </c>
      <c r="L146" s="29">
        <f>SUM($K$143:K145)+$L$139+IF(H146="before 5th",K146,0)</f>
        <v>1619747.8057769963</v>
      </c>
      <c r="M146" s="6">
        <f t="shared" si="16"/>
        <v>11743.171591883221</v>
      </c>
      <c r="N146" s="83">
        <f t="shared" si="17"/>
        <v>0</v>
      </c>
      <c r="O146" s="87"/>
      <c r="P146" s="41" t="str">
        <f>IF(SUM(K143:K154)&gt;P145,"Warning: total investment exceeds allowed limit","")</f>
        <v/>
      </c>
      <c r="Q146" s="49"/>
      <c r="R146" s="49"/>
      <c r="S146" s="50"/>
    </row>
    <row r="147" spans="4:19" x14ac:dyDescent="0.25">
      <c r="D147" s="19"/>
      <c r="E147" s="20"/>
      <c r="F147" s="20"/>
      <c r="G147" s="20"/>
      <c r="H147" s="71" t="s">
        <v>69</v>
      </c>
      <c r="I147" s="68"/>
      <c r="J147" s="4" t="s">
        <v>6</v>
      </c>
      <c r="K147" s="32">
        <v>5000</v>
      </c>
      <c r="L147" s="29">
        <f>SUM($K$143:K146)+$L$139+IF(H147="before 5th",K147,0)</f>
        <v>1624747.8057769963</v>
      </c>
      <c r="M147" s="6">
        <f t="shared" si="16"/>
        <v>11779.421591883221</v>
      </c>
      <c r="N147" s="83">
        <f t="shared" si="17"/>
        <v>0</v>
      </c>
      <c r="O147" s="87"/>
      <c r="P147" s="20"/>
      <c r="Q147" s="20"/>
      <c r="R147" s="20"/>
      <c r="S147" s="21"/>
    </row>
    <row r="148" spans="4:19" x14ac:dyDescent="0.25">
      <c r="D148" s="19"/>
      <c r="E148" s="20"/>
      <c r="F148" s="20"/>
      <c r="G148" s="20"/>
      <c r="H148" s="71" t="s">
        <v>69</v>
      </c>
      <c r="I148" s="68"/>
      <c r="J148" s="4" t="s">
        <v>7</v>
      </c>
      <c r="K148" s="32">
        <v>5000</v>
      </c>
      <c r="L148" s="29">
        <f>SUM($K$143:K147)+$L$139+IF(H148="before 5th",K148,0)</f>
        <v>1629747.8057769963</v>
      </c>
      <c r="M148" s="6">
        <f t="shared" si="16"/>
        <v>11815.671591883221</v>
      </c>
      <c r="N148" s="83">
        <f t="shared" si="17"/>
        <v>0</v>
      </c>
      <c r="O148" s="87"/>
      <c r="P148" s="84" t="str">
        <f>IF(N155&gt;F144,"Withdrawal is above limit","")</f>
        <v/>
      </c>
      <c r="Q148" s="76"/>
      <c r="R148" s="76"/>
      <c r="S148" s="85"/>
    </row>
    <row r="149" spans="4:19" x14ac:dyDescent="0.25">
      <c r="D149" s="19"/>
      <c r="E149" s="20"/>
      <c r="F149" s="20"/>
      <c r="G149" s="20"/>
      <c r="H149" s="71" t="s">
        <v>69</v>
      </c>
      <c r="I149" s="68"/>
      <c r="J149" s="4" t="s">
        <v>8</v>
      </c>
      <c r="K149" s="32">
        <v>5000</v>
      </c>
      <c r="L149" s="29">
        <f>SUM($K$143:K148)+$L$139+IF(H149="before 5th",K149,0)</f>
        <v>1634747.8057769963</v>
      </c>
      <c r="M149" s="6">
        <f t="shared" si="16"/>
        <v>11851.921591883221</v>
      </c>
      <c r="N149" s="83">
        <f t="shared" si="17"/>
        <v>0</v>
      </c>
      <c r="O149" s="87"/>
      <c r="P149" s="20"/>
      <c r="Q149" s="20"/>
      <c r="R149" s="20"/>
      <c r="S149" s="21"/>
    </row>
    <row r="150" spans="4:19" x14ac:dyDescent="0.25">
      <c r="D150" s="77"/>
      <c r="E150" s="20"/>
      <c r="F150" s="20"/>
      <c r="G150" s="20"/>
      <c r="H150" s="71" t="s">
        <v>69</v>
      </c>
      <c r="I150" s="68"/>
      <c r="J150" s="4" t="s">
        <v>9</v>
      </c>
      <c r="K150" s="32">
        <v>5000</v>
      </c>
      <c r="L150" s="29">
        <f>SUM($K$143:K149)+$L$139+IF(H150="before 5th",K150,0)</f>
        <v>1639747.8057769963</v>
      </c>
      <c r="M150" s="6">
        <f t="shared" si="16"/>
        <v>11888.171591883221</v>
      </c>
      <c r="N150" s="83">
        <f t="shared" si="17"/>
        <v>0</v>
      </c>
      <c r="O150" s="87"/>
      <c r="P150" s="20"/>
      <c r="Q150" s="20"/>
      <c r="R150" s="20"/>
      <c r="S150" s="21"/>
    </row>
    <row r="151" spans="4:19" x14ac:dyDescent="0.25">
      <c r="D151" s="19"/>
      <c r="E151" s="20"/>
      <c r="F151" s="20"/>
      <c r="G151" s="20"/>
      <c r="H151" s="71" t="s">
        <v>69</v>
      </c>
      <c r="I151" s="68"/>
      <c r="J151" s="4" t="s">
        <v>10</v>
      </c>
      <c r="K151" s="32">
        <v>5000</v>
      </c>
      <c r="L151" s="29">
        <f>SUM($K$143:K150)+$L$139+IF(H151="before 5th",K151,0)</f>
        <v>1644747.8057769963</v>
      </c>
      <c r="M151" s="6">
        <f t="shared" si="16"/>
        <v>11924.421591883221</v>
      </c>
      <c r="N151" s="83">
        <f t="shared" si="17"/>
        <v>0</v>
      </c>
      <c r="O151" s="87"/>
      <c r="P151" s="20"/>
      <c r="Q151" s="20"/>
      <c r="R151" s="20"/>
      <c r="S151" s="21"/>
    </row>
    <row r="152" spans="4:19" x14ac:dyDescent="0.25">
      <c r="D152" s="19"/>
      <c r="E152" s="20"/>
      <c r="F152" s="20"/>
      <c r="G152" s="20"/>
      <c r="H152" s="71" t="s">
        <v>69</v>
      </c>
      <c r="I152" s="68"/>
      <c r="J152" s="4" t="s">
        <v>11</v>
      </c>
      <c r="K152" s="32">
        <v>5000</v>
      </c>
      <c r="L152" s="29">
        <f>SUM($K$143:K151)+$L$139+IF(H152="before 5th",K152,0)</f>
        <v>1649747.8057769963</v>
      </c>
      <c r="M152" s="6">
        <f t="shared" si="16"/>
        <v>11960.671591883221</v>
      </c>
      <c r="N152" s="83">
        <f t="shared" si="17"/>
        <v>0</v>
      </c>
      <c r="O152" s="87"/>
      <c r="P152" s="68"/>
      <c r="Q152" s="68"/>
      <c r="R152" s="20"/>
      <c r="S152" s="21"/>
    </row>
    <row r="153" spans="4:19" x14ac:dyDescent="0.25">
      <c r="D153" s="19"/>
      <c r="E153" s="20"/>
      <c r="F153" s="20"/>
      <c r="G153" s="20"/>
      <c r="H153" s="71" t="s">
        <v>69</v>
      </c>
      <c r="I153" s="68"/>
      <c r="J153" s="4" t="s">
        <v>12</v>
      </c>
      <c r="K153" s="32">
        <v>5000</v>
      </c>
      <c r="L153" s="29">
        <f>SUM($K$143:K152)+$L$139+IF(H153="before 5th",K153,0)</f>
        <v>1654747.8057769963</v>
      </c>
      <c r="M153" s="6">
        <f t="shared" si="16"/>
        <v>11996.921591883221</v>
      </c>
      <c r="N153" s="83">
        <f t="shared" si="17"/>
        <v>0</v>
      </c>
      <c r="O153" s="87"/>
      <c r="P153" s="68"/>
      <c r="Q153" s="68"/>
      <c r="R153" s="20"/>
      <c r="S153" s="21"/>
    </row>
    <row r="154" spans="4:19" x14ac:dyDescent="0.25">
      <c r="D154" s="19"/>
      <c r="E154" s="20"/>
      <c r="F154" s="20"/>
      <c r="G154" s="20"/>
      <c r="H154" s="71" t="s">
        <v>69</v>
      </c>
      <c r="I154" s="68"/>
      <c r="J154" s="4" t="s">
        <v>13</v>
      </c>
      <c r="K154" s="32">
        <v>5000</v>
      </c>
      <c r="L154" s="29">
        <f>SUM($K$143:K153)+$L$139+IF(H154="before 5th",K154,0)</f>
        <v>1659747.8057769963</v>
      </c>
      <c r="M154" s="6">
        <f t="shared" si="16"/>
        <v>12033.171591883221</v>
      </c>
      <c r="N154" s="83">
        <f t="shared" si="17"/>
        <v>0</v>
      </c>
      <c r="O154" s="87"/>
      <c r="P154" s="68"/>
      <c r="Q154" s="68"/>
      <c r="R154" s="20"/>
      <c r="S154" s="21"/>
    </row>
    <row r="155" spans="4:19" x14ac:dyDescent="0.25">
      <c r="D155" s="77"/>
      <c r="E155" s="20"/>
      <c r="F155" s="20"/>
      <c r="G155" s="20"/>
      <c r="H155" s="20"/>
      <c r="I155" s="68"/>
      <c r="J155" s="7" t="s">
        <v>21</v>
      </c>
      <c r="K155" s="9"/>
      <c r="L155" s="9">
        <f>SUM(K143:K154)+SUM(M143:M154)+L139-N155</f>
        <v>1801753.3648795949</v>
      </c>
      <c r="M155" s="10"/>
      <c r="N155" s="68">
        <f>MAX(O143:O154)</f>
        <v>0</v>
      </c>
      <c r="O155" s="73"/>
      <c r="P155" s="20"/>
      <c r="Q155" s="20"/>
      <c r="R155" s="20"/>
      <c r="S155" s="21"/>
    </row>
    <row r="156" spans="4:19" x14ac:dyDescent="0.25">
      <c r="D156" s="19"/>
      <c r="E156" s="20"/>
      <c r="F156" s="20"/>
      <c r="G156" s="20"/>
      <c r="H156" s="20"/>
      <c r="I156" s="68"/>
      <c r="J156" s="20"/>
      <c r="K156" s="20"/>
      <c r="L156" s="20"/>
      <c r="M156" s="20"/>
      <c r="N156" s="20"/>
      <c r="O156" s="20"/>
      <c r="P156" s="20"/>
      <c r="Q156" s="20"/>
      <c r="R156" s="20"/>
      <c r="S156" s="21"/>
    </row>
    <row r="157" spans="4:19" x14ac:dyDescent="0.25">
      <c r="D157" s="19"/>
      <c r="E157" s="20"/>
      <c r="F157" s="20"/>
      <c r="G157" s="20"/>
      <c r="H157" s="20"/>
      <c r="I157" s="68"/>
      <c r="J157" s="118" t="s">
        <v>84</v>
      </c>
      <c r="K157" s="119"/>
      <c r="L157" s="119"/>
      <c r="M157" s="120"/>
      <c r="N157" s="75"/>
      <c r="O157" s="90" t="s">
        <v>73</v>
      </c>
      <c r="P157" s="20"/>
      <c r="Q157" s="20"/>
      <c r="R157" s="20"/>
      <c r="S157" s="21"/>
    </row>
    <row r="158" spans="4:19" x14ac:dyDescent="0.25">
      <c r="D158" s="19"/>
      <c r="E158" s="20"/>
      <c r="F158" s="20"/>
      <c r="G158" s="20"/>
      <c r="H158" s="70" t="s">
        <v>68</v>
      </c>
      <c r="I158" s="68"/>
      <c r="J158" s="1" t="s">
        <v>1</v>
      </c>
      <c r="K158" s="2" t="s">
        <v>14</v>
      </c>
      <c r="L158" s="2" t="s">
        <v>0</v>
      </c>
      <c r="M158" s="3" t="s">
        <v>15</v>
      </c>
      <c r="N158" s="3"/>
      <c r="O158" s="86" t="s">
        <v>72</v>
      </c>
      <c r="P158" s="20" t="s">
        <v>38</v>
      </c>
      <c r="Q158" s="20"/>
      <c r="R158" s="20"/>
      <c r="S158" s="21"/>
    </row>
    <row r="159" spans="4:19" x14ac:dyDescent="0.25">
      <c r="D159" s="19"/>
      <c r="E159" s="20"/>
      <c r="F159" s="20"/>
      <c r="G159" s="20"/>
      <c r="H159" s="71" t="s">
        <v>69</v>
      </c>
      <c r="I159" s="68"/>
      <c r="J159" s="4" t="s">
        <v>2</v>
      </c>
      <c r="K159" s="32">
        <v>5000</v>
      </c>
      <c r="L159" s="29">
        <f>$L$155+IF(H159="before 5th",K159,0)</f>
        <v>1806753.3648795949</v>
      </c>
      <c r="M159" s="6">
        <f t="shared" ref="M159:M170" si="18">L159*$P$143/12</f>
        <v>13098.961895377062</v>
      </c>
      <c r="N159" s="83">
        <f>IF(O159=MAX($O$159:$O$170),O159,IF(N158=MAX($O$159:$O$170),N158,0))</f>
        <v>0</v>
      </c>
      <c r="O159" s="87"/>
      <c r="P159" s="74">
        <v>8.6999999999999994E-2</v>
      </c>
      <c r="Q159" s="20"/>
      <c r="R159" s="20"/>
      <c r="S159" s="21"/>
    </row>
    <row r="160" spans="4:19" x14ac:dyDescent="0.25">
      <c r="D160" s="19" t="str">
        <f>IF($M$9=0,"Withdrawal limit","")</f>
        <v>Withdrawal limit</v>
      </c>
      <c r="E160" s="20"/>
      <c r="F160" s="20">
        <f>60%*$L$91</f>
        <v>651399.51999917405</v>
      </c>
      <c r="G160" s="20"/>
      <c r="H160" s="71" t="s">
        <v>69</v>
      </c>
      <c r="I160" s="68"/>
      <c r="J160" s="4" t="s">
        <v>3</v>
      </c>
      <c r="K160" s="32">
        <v>5000</v>
      </c>
      <c r="L160" s="29">
        <f>SUM($K$159:K159)+$L$155+IF(H160="before 5th",K160,0)</f>
        <v>1811753.3648795949</v>
      </c>
      <c r="M160" s="6">
        <f t="shared" si="18"/>
        <v>13135.211895377062</v>
      </c>
      <c r="N160" s="83">
        <f t="shared" ref="N160:N170" si="19">IF(O160=MAX($O$159:$O$170),O160,IF(N159=MAX($O$159:$O$170),N159,0))</f>
        <v>0</v>
      </c>
      <c r="O160" s="87"/>
      <c r="P160" s="20" t="s">
        <v>40</v>
      </c>
      <c r="Q160" s="20"/>
      <c r="R160" s="20"/>
      <c r="S160" s="21"/>
    </row>
    <row r="161" spans="4:19" x14ac:dyDescent="0.25">
      <c r="D161" s="19"/>
      <c r="E161" s="20"/>
      <c r="F161" s="20"/>
      <c r="G161" s="20"/>
      <c r="H161" s="71" t="s">
        <v>69</v>
      </c>
      <c r="I161" s="68"/>
      <c r="J161" s="4" t="s">
        <v>4</v>
      </c>
      <c r="K161" s="32">
        <v>5000</v>
      </c>
      <c r="L161" s="29">
        <f>SUM($K$159:K160)+$L$155+IF(H161="before 5th",K161,0)</f>
        <v>1816753.3648795949</v>
      </c>
      <c r="M161" s="6">
        <f t="shared" si="18"/>
        <v>13171.461895377062</v>
      </c>
      <c r="N161" s="83">
        <f t="shared" si="19"/>
        <v>0</v>
      </c>
      <c r="O161" s="87"/>
      <c r="P161" s="54">
        <v>150000</v>
      </c>
      <c r="Q161" s="20"/>
      <c r="R161" s="20"/>
      <c r="S161" s="21"/>
    </row>
    <row r="162" spans="4:19" x14ac:dyDescent="0.25">
      <c r="D162" s="19"/>
      <c r="E162" s="20"/>
      <c r="F162" s="20"/>
      <c r="G162" s="20"/>
      <c r="H162" s="71" t="s">
        <v>69</v>
      </c>
      <c r="I162" s="68"/>
      <c r="J162" s="4" t="s">
        <v>5</v>
      </c>
      <c r="K162" s="32">
        <v>5000</v>
      </c>
      <c r="L162" s="29">
        <f>SUM($K$159:K161)+$L$155+IF(H162="before 5th",K162,0)</f>
        <v>1821753.3648795949</v>
      </c>
      <c r="M162" s="6">
        <f t="shared" si="18"/>
        <v>13207.711895377062</v>
      </c>
      <c r="N162" s="83">
        <f t="shared" si="19"/>
        <v>0</v>
      </c>
      <c r="O162" s="87"/>
      <c r="P162" s="41" t="str">
        <f>IF(SUM(K159:K170)&gt;P161,"Warning: total investment exceeds allowed limit","")</f>
        <v/>
      </c>
      <c r="Q162" s="49"/>
      <c r="R162" s="49"/>
      <c r="S162" s="50"/>
    </row>
    <row r="163" spans="4:19" x14ac:dyDescent="0.25">
      <c r="D163" s="19"/>
      <c r="E163" s="20"/>
      <c r="F163" s="20"/>
      <c r="G163" s="20"/>
      <c r="H163" s="71" t="s">
        <v>69</v>
      </c>
      <c r="I163" s="68"/>
      <c r="J163" s="4" t="s">
        <v>6</v>
      </c>
      <c r="K163" s="32">
        <v>5000</v>
      </c>
      <c r="L163" s="29">
        <f>SUM($K$159:K162)+$L$155+IF(H163="before 5th",K163,0)</f>
        <v>1826753.3648795949</v>
      </c>
      <c r="M163" s="6">
        <f t="shared" si="18"/>
        <v>13243.961895377062</v>
      </c>
      <c r="N163" s="83">
        <f t="shared" si="19"/>
        <v>0</v>
      </c>
      <c r="O163" s="87"/>
      <c r="P163" s="20"/>
      <c r="Q163" s="20"/>
      <c r="R163" s="20"/>
      <c r="S163" s="21"/>
    </row>
    <row r="164" spans="4:19" x14ac:dyDescent="0.25">
      <c r="D164" s="19"/>
      <c r="E164" s="20"/>
      <c r="F164" s="20"/>
      <c r="G164" s="20"/>
      <c r="H164" s="71" t="s">
        <v>69</v>
      </c>
      <c r="I164" s="68"/>
      <c r="J164" s="4" t="s">
        <v>7</v>
      </c>
      <c r="K164" s="32">
        <v>5000</v>
      </c>
      <c r="L164" s="29">
        <f>SUM($K$159:K163)+$L$155+IF(H164="before 5th",K164,0)</f>
        <v>1831753.3648795949</v>
      </c>
      <c r="M164" s="6">
        <f t="shared" si="18"/>
        <v>13280.211895377062</v>
      </c>
      <c r="N164" s="83">
        <f t="shared" si="19"/>
        <v>0</v>
      </c>
      <c r="O164" s="87"/>
      <c r="P164" s="84" t="str">
        <f>IF(N171&gt;F160,"Withdrawal is above limit","")</f>
        <v/>
      </c>
      <c r="Q164" s="76"/>
      <c r="R164" s="76"/>
      <c r="S164" s="85"/>
    </row>
    <row r="165" spans="4:19" x14ac:dyDescent="0.25">
      <c r="D165" s="19"/>
      <c r="E165" s="20"/>
      <c r="F165" s="20"/>
      <c r="G165" s="20"/>
      <c r="H165" s="71" t="s">
        <v>69</v>
      </c>
      <c r="I165" s="68"/>
      <c r="J165" s="4" t="s">
        <v>8</v>
      </c>
      <c r="K165" s="32">
        <v>5000</v>
      </c>
      <c r="L165" s="29">
        <f>SUM($K$159:K164)+$L$155+IF(H165="before 5th",K165,0)</f>
        <v>1836753.3648795949</v>
      </c>
      <c r="M165" s="6">
        <f t="shared" si="18"/>
        <v>13316.461895377062</v>
      </c>
      <c r="N165" s="83">
        <f t="shared" si="19"/>
        <v>0</v>
      </c>
      <c r="O165" s="87"/>
      <c r="P165" s="20"/>
      <c r="Q165" s="20"/>
      <c r="R165" s="20"/>
      <c r="S165" s="21"/>
    </row>
    <row r="166" spans="4:19" x14ac:dyDescent="0.25">
      <c r="D166" s="77"/>
      <c r="E166" s="20"/>
      <c r="F166" s="20"/>
      <c r="G166" s="20"/>
      <c r="H166" s="71" t="s">
        <v>69</v>
      </c>
      <c r="I166" s="68"/>
      <c r="J166" s="4" t="s">
        <v>9</v>
      </c>
      <c r="K166" s="32">
        <v>5000</v>
      </c>
      <c r="L166" s="29">
        <f>SUM($K$159:K165)+$L$155+IF(H166="before 5th",K166,0)</f>
        <v>1841753.3648795949</v>
      </c>
      <c r="M166" s="6">
        <f t="shared" si="18"/>
        <v>13352.711895377062</v>
      </c>
      <c r="N166" s="83">
        <f t="shared" si="19"/>
        <v>0</v>
      </c>
      <c r="O166" s="87"/>
      <c r="P166" s="20"/>
      <c r="Q166" s="20"/>
      <c r="R166" s="20"/>
      <c r="S166" s="21"/>
    </row>
    <row r="167" spans="4:19" x14ac:dyDescent="0.25">
      <c r="D167" s="19"/>
      <c r="E167" s="20"/>
      <c r="F167" s="20"/>
      <c r="G167" s="20"/>
      <c r="H167" s="71" t="s">
        <v>69</v>
      </c>
      <c r="I167" s="68"/>
      <c r="J167" s="4" t="s">
        <v>10</v>
      </c>
      <c r="K167" s="32">
        <v>5000</v>
      </c>
      <c r="L167" s="29">
        <f>SUM($K$159:K166)+$L$155+IF(H167="before 5th",K167,0)</f>
        <v>1846753.3648795949</v>
      </c>
      <c r="M167" s="6">
        <f t="shared" si="18"/>
        <v>13388.961895377062</v>
      </c>
      <c r="N167" s="83">
        <f t="shared" si="19"/>
        <v>0</v>
      </c>
      <c r="O167" s="87"/>
      <c r="P167" s="20"/>
      <c r="Q167" s="20"/>
      <c r="R167" s="20"/>
      <c r="S167" s="21"/>
    </row>
    <row r="168" spans="4:19" x14ac:dyDescent="0.25">
      <c r="D168" s="19"/>
      <c r="E168" s="20"/>
      <c r="F168" s="20"/>
      <c r="G168" s="20"/>
      <c r="H168" s="71" t="s">
        <v>69</v>
      </c>
      <c r="I168" s="68"/>
      <c r="J168" s="4" t="s">
        <v>11</v>
      </c>
      <c r="K168" s="32">
        <v>5000</v>
      </c>
      <c r="L168" s="29">
        <f>SUM($K$159:K167)+$L$155+IF(H168="before 5th",K168,0)</f>
        <v>1851753.3648795949</v>
      </c>
      <c r="M168" s="6">
        <f t="shared" si="18"/>
        <v>13425.211895377062</v>
      </c>
      <c r="N168" s="83">
        <f t="shared" si="19"/>
        <v>0</v>
      </c>
      <c r="O168" s="87"/>
      <c r="P168" s="68"/>
      <c r="Q168" s="68"/>
      <c r="R168" s="20"/>
      <c r="S168" s="21"/>
    </row>
    <row r="169" spans="4:19" x14ac:dyDescent="0.25">
      <c r="D169" s="19"/>
      <c r="E169" s="20"/>
      <c r="F169" s="20"/>
      <c r="G169" s="20"/>
      <c r="H169" s="71" t="s">
        <v>69</v>
      </c>
      <c r="I169" s="68"/>
      <c r="J169" s="4" t="s">
        <v>12</v>
      </c>
      <c r="K169" s="32">
        <v>5000</v>
      </c>
      <c r="L169" s="29">
        <f>SUM($K$159:K168)+$L$155+IF(H169="before 5th",K169,0)</f>
        <v>1856753.3648795949</v>
      </c>
      <c r="M169" s="6">
        <f t="shared" si="18"/>
        <v>13461.461895377062</v>
      </c>
      <c r="N169" s="83">
        <f t="shared" si="19"/>
        <v>0</v>
      </c>
      <c r="O169" s="87"/>
      <c r="P169" s="68"/>
      <c r="Q169" s="68"/>
      <c r="R169" s="20"/>
      <c r="S169" s="21"/>
    </row>
    <row r="170" spans="4:19" x14ac:dyDescent="0.25">
      <c r="D170" s="19"/>
      <c r="E170" s="20"/>
      <c r="F170" s="20"/>
      <c r="G170" s="20"/>
      <c r="H170" s="71" t="s">
        <v>69</v>
      </c>
      <c r="I170" s="68"/>
      <c r="J170" s="4" t="s">
        <v>13</v>
      </c>
      <c r="K170" s="32">
        <v>5000</v>
      </c>
      <c r="L170" s="29">
        <f>SUM($K$159:K169)+$L$155+IF(H170="before 5th",K170,0)</f>
        <v>1861753.3648795949</v>
      </c>
      <c r="M170" s="6">
        <f t="shared" si="18"/>
        <v>13497.711895377062</v>
      </c>
      <c r="N170" s="83">
        <f t="shared" si="19"/>
        <v>0</v>
      </c>
      <c r="O170" s="87"/>
      <c r="P170" s="68"/>
      <c r="Q170" s="68"/>
      <c r="R170" s="20"/>
      <c r="S170" s="21"/>
    </row>
    <row r="171" spans="4:19" x14ac:dyDescent="0.25">
      <c r="D171" s="77"/>
      <c r="E171" s="20"/>
      <c r="F171" s="20"/>
      <c r="G171" s="20"/>
      <c r="H171" s="20"/>
      <c r="I171" s="68"/>
      <c r="J171" s="7" t="s">
        <v>21</v>
      </c>
      <c r="K171" s="9"/>
      <c r="L171" s="9">
        <f>SUM(K159:K170)+SUM(M159:M170)+L155-N171</f>
        <v>2021333.4076241197</v>
      </c>
      <c r="M171" s="10"/>
      <c r="N171" s="68">
        <f>MAX(O159:O170)</f>
        <v>0</v>
      </c>
      <c r="O171" s="73"/>
      <c r="P171" s="20"/>
      <c r="Q171" s="20"/>
      <c r="R171" s="20"/>
      <c r="S171" s="21"/>
    </row>
    <row r="172" spans="4:19" ht="7.15" customHeight="1" x14ac:dyDescent="0.25">
      <c r="D172" s="98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99"/>
      <c r="P172" s="99"/>
      <c r="Q172" s="99"/>
      <c r="R172" s="99"/>
      <c r="S172" s="100"/>
    </row>
    <row r="252" spans="4:20" x14ac:dyDescent="0.25">
      <c r="T252" s="49"/>
    </row>
    <row r="253" spans="4:20" x14ac:dyDescent="0.25">
      <c r="D253" s="49"/>
      <c r="E253" s="49"/>
      <c r="F253" s="49"/>
      <c r="G253" s="49"/>
      <c r="H253" s="49"/>
      <c r="I253" s="76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</row>
  </sheetData>
  <mergeCells count="13">
    <mergeCell ref="J45:M45"/>
    <mergeCell ref="D2:S3"/>
    <mergeCell ref="E8:F8"/>
    <mergeCell ref="Q8:R8"/>
    <mergeCell ref="J13:M13"/>
    <mergeCell ref="J29:M29"/>
    <mergeCell ref="J61:M61"/>
    <mergeCell ref="J157:M157"/>
    <mergeCell ref="J77:M77"/>
    <mergeCell ref="J93:M93"/>
    <mergeCell ref="J109:M109"/>
    <mergeCell ref="J125:M125"/>
    <mergeCell ref="J141:M141"/>
  </mergeCells>
  <dataValidations disablePrompts="1" count="1">
    <dataValidation type="list" allowBlank="1" showInputMessage="1" showErrorMessage="1" sqref="H31:H42 H127:H138 H47:H58 H63:H74 H79:H90 H95:H106 H111:H122 H143:H154 H15:H26 H159:H170" xr:uid="{00000000-0002-0000-0300-000000000000}">
      <formula1>$AD$1:$AD$2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J4:J5"/>
  <sheetViews>
    <sheetView workbookViewId="0">
      <selection activeCell="K14" sqref="K14"/>
    </sheetView>
  </sheetViews>
  <sheetFormatPr defaultRowHeight="15.75" x14ac:dyDescent="0.25"/>
  <sheetData>
    <row r="4" spans="10:10" x14ac:dyDescent="0.25">
      <c r="J4" t="s">
        <v>66</v>
      </c>
    </row>
    <row r="5" spans="10:10" x14ac:dyDescent="0.25">
      <c r="J5" t="s">
        <v>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PPF Calculator</vt:lpstr>
      <vt:lpstr>Goal Calculator</vt:lpstr>
      <vt:lpstr>PPF Tracker</vt:lpstr>
      <vt:lpstr>Post 15 yearsTracker </vt:lpstr>
      <vt:lpstr>Interest Rate History</vt:lpstr>
    </vt:vector>
  </TitlesOfParts>
  <Company>justchells@gmail.com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Karthikeyan Chellappa</dc:creator>
  <cp:lastModifiedBy>Anbarasan Alagarsamy</cp:lastModifiedBy>
  <dcterms:created xsi:type="dcterms:W3CDTF">2013-11-06T04:49:38Z</dcterms:created>
  <dcterms:modified xsi:type="dcterms:W3CDTF">2019-03-19T12:35:06Z</dcterms:modified>
</cp:coreProperties>
</file>